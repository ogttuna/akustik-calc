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fca047e10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var_Katmanlari" sheetId="1" r:id="Rc7d2a3e1262b4194"/>
    <x:sheet xmlns:r="http://schemas.openxmlformats.org/officeDocument/2006/relationships" name="Poroz_Elastik" sheetId="2" r:id="R8f39417a7c4c4e7c"/>
    <x:sheet xmlns:r="http://schemas.openxmlformats.org/officeDocument/2006/relationships" name="Bariyer_Damping" sheetId="3" r:id="Rf98edea6c4824005"/>
    <x:sheet xmlns:r="http://schemas.openxmlformats.org/officeDocument/2006/relationships" name="Zemin_Katmanlari" sheetId="4" r:id="R82a5c2371e6240ae"/>
    <x:sheet xmlns:r="http://schemas.openxmlformats.org/officeDocument/2006/relationships" name="Delta_Lnw" sheetId="5" r:id="Rb1a45f1c6df7482a"/>
    <x:sheet xmlns:r="http://schemas.openxmlformats.org/officeDocument/2006/relationships" name="Parametre_Sozlugu" sheetId="6" r:id="R21bac3c56cb84a7a"/>
    <x:sheet xmlns:r="http://schemas.openxmlformats.org/officeDocument/2006/relationships" name="Hesap_Duvar" sheetId="7" r:id="Rad140fa8d4494ea1"/>
    <x:sheet xmlns:r="http://schemas.openxmlformats.org/officeDocument/2006/relationships" name="Hesap_Zemin" sheetId="8" r:id="R851edbaf26d1448c"/>
    <x:sheet xmlns:r="http://schemas.openxmlformats.org/officeDocument/2006/relationships" name="Standartlar_Kaynaklar" sheetId="9" r:id="R7c83f9a146d84215"/>
    <x:sheet xmlns:r="http://schemas.openxmlformats.org/officeDocument/2006/relationships" name="README_Kullanim" sheetId="10" r:id="Rc7d6dc0d9d8740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.00"/>
    <x:numFmt numFmtId="202" formatCode="0.000"/>
    <x:numFmt numFmtId="203" formatCode="0"/>
    <x:numFmt numFmtId="204" formatCode="0.0000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573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sz val="10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6F8"/>
      </x:patternFill>
    </x:fill>
    <x:fill>
      <x:patternFill patternType="solid">
        <x:fgColor rgb="FF0F6B63"/>
      </x:patternFill>
    </x:fill>
    <x:fill>
      <x:patternFill patternType="solid">
        <x:fgColor rgb="FFDCEEF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4">
    <x:border/>
    <x:border/>
    <x:border>
      <x:bottom style="thin">
        <x:color rgb="FFD0D7DE"/>
      </x:bottom>
    </x:border>
    <x:border>
      <x:bottom style="thin">
        <x:color rgb="FFD0D7DE"/>
      </x:bottom>
    </x:border>
    <x:border>
      <x:right style="hair">
        <x:color rgb="FFD0D7DE"/>
      </x:right>
    </x:border>
    <x:border>
      <x:bottom style="hair">
        <x:color rgb="FFD0D7DE"/>
      </x:bottom>
    </x:border>
    <x:border>
      <x:right style="hair">
        <x:color rgb="FFD0D7DE"/>
      </x:right>
      <x:bottom style="hair">
        <x:color rgb="FFD0D7DE"/>
      </x:bottom>
    </x:border>
    <x:border>
      <x:right style="hair">
        <x:color rgb="FFD0D7DE"/>
      </x:right>
    </x:border>
    <x:border>
      <x:bottom style="hair">
        <x:color rgb="FFD0D7DE"/>
      </x:bottom>
    </x:border>
    <x:border>
      <x:right style="hair">
        <x:color rgb="FFD0D7DE"/>
      </x:right>
      <x:bottom style="hair">
        <x:color rgb="FFD0D7DE"/>
      </x:bottom>
    </x:border>
    <x:border>
      <x:right style="thin">
        <x:color rgb="FFD0D7DE"/>
      </x:right>
    </x:border>
    <x:border>
      <x:right style="thin">
        <x:color rgb="FFD0D7DE"/>
      </x:right>
      <x:bottom style="thin">
        <x:color rgb="FFD0D7DE"/>
      </x:bottom>
    </x:border>
    <x:border>
      <x:right style="thin">
        <x:color rgb="FFD0D7DE"/>
      </x:right>
    </x:border>
    <x:border>
      <x:right style="thin">
        <x:color rgb="FFD0D7DE"/>
      </x:right>
      <x:bottom style="thin">
        <x:color rgb="FFD0D7DE"/>
      </x:bottom>
    </x:border>
  </x:borders>
  <x:cellStyleXfs count="1">
    <x:xf numFmtId="0" fontId="0" fillId="0" borderId="0"/>
  </x:cellStyleXfs>
  <x:cellXfs count="2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0" fontId="4" fillId="0" borderId="1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vertical="top"/>
    </x:xf>
    <x:xf numFmtId="0" fontId="4" fillId="0" borderId="7" xfId="0" applyNumberFormat="1" applyFont="1" applyFill="1" applyBorder="1" applyAlignment="1">
      <x:alignment vertical="top"/>
    </x:xf>
    <x:xf numFmtId="0" fontId="4" fillId="0" borderId="8" xfId="0" applyNumberFormat="1" applyFont="1" applyFill="1" applyBorder="1" applyAlignment="1">
      <x:alignment vertical="top"/>
    </x:xf>
    <x:xf numFmtId="0" fontId="4" fillId="0" borderId="9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200" fontId="4" fillId="0" borderId="5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</x:xf>
    <x:xf numFmtId="200" fontId="4" fillId="0" borderId="8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1" fontId="4" fillId="0" borderId="5" xfId="0" applyNumberFormat="1" applyFont="1" applyFill="1" applyBorder="1" applyAlignment="1">
      <x:alignment vertical="top"/>
    </x:xf>
    <x:xf numFmtId="201" fontId="4" fillId="0" borderId="1" xfId="0" applyNumberFormat="1" applyFont="1" applyFill="1" applyBorder="1" applyAlignment="1">
      <x:alignment vertical="top"/>
    </x:xf>
    <x:xf numFmtId="201" fontId="4" fillId="0" borderId="8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/>
    </x:xf>
    <x:xf numFmtId="202" fontId="4" fillId="0" borderId="5" xfId="0" applyNumberFormat="1" applyFont="1" applyFill="1" applyBorder="1" applyAlignment="1">
      <x:alignment vertical="top"/>
    </x:xf>
    <x:xf numFmtId="202" fontId="4" fillId="0" borderId="1" xfId="0" applyNumberFormat="1" applyFont="1" applyFill="1" applyBorder="1" applyAlignment="1">
      <x:alignment vertical="top"/>
    </x:xf>
    <x:xf numFmtId="202" fontId="4" fillId="0" borderId="8" xfId="0" applyNumberFormat="1" applyFont="1" applyFill="1" applyBorder="1" applyAlignment="1">
      <x:alignment vertical="top"/>
    </x:xf>
    <x:xf numFmtId="203" fontId="4" fillId="0" borderId="0" xfId="0" applyNumberFormat="1" applyFont="1" applyFill="1" applyBorder="1" applyAlignment="1">
      <x:alignment vertical="top"/>
    </x:xf>
    <x:xf numFmtId="203" fontId="4" fillId="0" borderId="5" xfId="0" applyNumberFormat="1" applyFont="1" applyFill="1" applyBorder="1" applyAlignment="1">
      <x:alignment vertical="top"/>
    </x:xf>
    <x:xf numFmtId="203" fontId="4" fillId="0" borderId="1" xfId="0" applyNumberFormat="1" applyFont="1" applyFill="1" applyBorder="1" applyAlignment="1">
      <x:alignment vertical="top"/>
    </x:xf>
    <x:xf numFmtId="203" fontId="4" fillId="0" borderId="8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201" fontId="4" fillId="6" borderId="0" xfId="0" applyNumberFormat="1" applyFont="1" applyFill="1" applyBorder="1" applyAlignment="1">
      <x:alignment vertical="top"/>
    </x:xf>
    <x:xf numFmtId="202" fontId="4" fillId="6" borderId="0" xfId="0" applyNumberFormat="1" applyFont="1" applyFill="1" applyBorder="1" applyAlignment="1">
      <x:alignment vertical="top"/>
    </x:xf>
    <x:xf numFmtId="203" fontId="4" fillId="6" borderId="0" xfId="0" applyNumberFormat="1" applyFont="1" applyFill="1" applyBorder="1" applyAlignment="1">
      <x:alignment vertical="top"/>
    </x:xf>
    <x:xf numFmtId="201" fontId="4" fillId="6" borderId="5" xfId="0" applyNumberFormat="1" applyFont="1" applyFill="1" applyBorder="1" applyAlignment="1">
      <x:alignment vertical="top"/>
    </x:xf>
    <x:xf numFmtId="202" fontId="4" fillId="6" borderId="5" xfId="0" applyNumberFormat="1" applyFont="1" applyFill="1" applyBorder="1" applyAlignment="1">
      <x:alignment vertical="top"/>
    </x:xf>
    <x:xf numFmtId="203" fontId="4" fillId="6" borderId="5" xfId="0" applyNumberFormat="1" applyFont="1" applyFill="1" applyBorder="1" applyAlignment="1">
      <x:alignment vertical="top"/>
    </x:xf>
    <x:xf numFmtId="201" fontId="4" fillId="6" borderId="1" xfId="0" applyNumberFormat="1" applyFont="1" applyFill="1" applyBorder="1" applyAlignment="1">
      <x:alignment vertical="top"/>
    </x:xf>
    <x:xf numFmtId="202" fontId="4" fillId="6" borderId="1" xfId="0" applyNumberFormat="1" applyFont="1" applyFill="1" applyBorder="1" applyAlignment="1">
      <x:alignment vertical="top"/>
    </x:xf>
    <x:xf numFmtId="203" fontId="4" fillId="6" borderId="1" xfId="0" applyNumberFormat="1" applyFont="1" applyFill="1" applyBorder="1" applyAlignment="1">
      <x:alignment vertical="top"/>
    </x:xf>
    <x:xf numFmtId="201" fontId="4" fillId="6" borderId="8" xfId="0" applyNumberFormat="1" applyFont="1" applyFill="1" applyBorder="1" applyAlignment="1">
      <x:alignment vertical="top"/>
    </x:xf>
    <x:xf numFmtId="202" fontId="4" fillId="6" borderId="8" xfId="0" applyNumberFormat="1" applyFont="1" applyFill="1" applyBorder="1" applyAlignment="1">
      <x:alignment vertical="top"/>
    </x:xf>
    <x:xf numFmtId="203" fontId="4" fillId="6" borderId="8" xfId="0" applyNumberFormat="1" applyFont="1" applyFill="1" applyBorder="1" applyAlignment="1">
      <x:alignment vertical="top"/>
    </x:xf>
    <x:xf numFmtId="200" fontId="4" fillId="6" borderId="0" xfId="0" applyNumberFormat="1" applyFont="1" applyFill="1" applyBorder="1" applyAlignment="1">
      <x:alignment vertical="top"/>
    </x:xf>
    <x:xf numFmtId="200" fontId="4" fillId="6" borderId="5" xfId="0" applyNumberFormat="1" applyFont="1" applyFill="1" applyBorder="1" applyAlignment="1">
      <x:alignment vertical="top"/>
    </x:xf>
    <x:xf numFmtId="200" fontId="4" fillId="6" borderId="1" xfId="0" applyNumberFormat="1" applyFont="1" applyFill="1" applyBorder="1" applyAlignment="1">
      <x:alignment vertical="top"/>
    </x:xf>
    <x:xf numFmtId="200" fontId="4" fillId="6" borderId="8" xfId="0" applyNumberFormat="1" applyFont="1" applyFill="1" applyBorder="1" applyAlignment="1">
      <x:alignment vertical="top"/>
    </x:xf>
    <x:xf numFmtId="204" fontId="4" fillId="0" borderId="0" xfId="0" applyNumberFormat="1" applyFont="1" applyFill="1" applyBorder="1" applyAlignment="1">
      <x:alignment vertical="top"/>
    </x:xf>
    <x:xf numFmtId="204" fontId="4" fillId="0" borderId="5" xfId="0" applyNumberFormat="1" applyFont="1" applyFill="1" applyBorder="1" applyAlignment="1">
      <x:alignment vertical="top"/>
    </x:xf>
    <x:xf numFmtId="204" fontId="4" fillId="0" borderId="1" xfId="0" applyNumberFormat="1" applyFont="1" applyFill="1" applyBorder="1" applyAlignment="1">
      <x:alignment vertical="top"/>
    </x:xf>
    <x:xf numFmtId="204" fontId="4" fillId="0" borderId="8" xfId="0" applyNumberFormat="1" applyFont="1" applyFill="1" applyBorder="1" applyAlignment="1">
      <x:alignment vertical="top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/>
    <x:xf numFmtId="0" fontId="0" fillId="0" borderId="11" xfId="0" applyNumberFormat="1" applyFont="1" applyFill="1" applyBorder="1"/>
    <x:xf numFmtId="0" fontId="6" fillId="4" borderId="12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/>
    <x:xf numFmtId="0" fontId="0" fillId="0" borderId="3" xfId="0" applyNumberFormat="1" applyFont="1" applyFill="1" applyBorder="1"/>
    <x:xf numFmtId="0" fontId="0" fillId="0" borderId="13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202" fontId="7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202" fontId="7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201" fontId="7" fillId="6" borderId="0" xfId="0" applyNumberFormat="1" applyFont="1" applyFill="1" applyBorder="1"/>
    <x:xf numFmtId="201" fontId="7" fillId="6" borderId="2" xfId="0" applyNumberFormat="1" applyFont="1" applyFill="1" applyBorder="1"/>
    <x:xf numFmtId="0" fontId="0" fillId="6" borderId="1" xfId="0" applyNumberFormat="1" applyFont="1" applyFill="1" applyBorder="1"/>
    <x:xf numFmtId="0" fontId="0" fillId="6" borderId="3" xfId="0" applyNumberFormat="1" applyFont="1" applyFill="1" applyBorder="1"/>
    <x:xf numFmtId="0" fontId="7" fillId="6" borderId="1" xfId="0" applyNumberFormat="1" applyFont="1" applyFill="1" applyBorder="1"/>
    <x:xf numFmtId="0" fontId="7" fillId="6" borderId="3" xfId="0" applyNumberFormat="1" applyFont="1" applyFill="1" applyBorder="1"/>
    <x:xf numFmtId="201" fontId="7" fillId="6" borderId="1" xfId="0" applyNumberFormat="1" applyFont="1" applyFill="1" applyBorder="1"/>
    <x:xf numFmtId="201" fontId="7" fillId="6" borderId="3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0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1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5" borderId="0" xfId="0" applyNumberFormat="1" applyFont="1" applyFill="1" applyBorder="1"/>
    <x:xf numFmtId="200" fontId="7" fillId="5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6" borderId="0" xfId="0" applyNumberFormat="1" applyFont="1" applyFill="1" applyBorder="1"/>
    <x:xf numFmtId="200" fontId="7" fillId="6" borderId="0" xfId="0" applyNumberFormat="1" applyFont="1" applyFill="1" applyBorder="1"/>
    <x:xf numFmtId="200" fontId="0" fillId="6" borderId="2" xfId="0" applyNumberFormat="1" applyFont="1" applyFill="1" applyBorder="1"/>
    <x:xf numFmtId="200" fontId="0" fillId="6" borderId="1" xfId="0" applyNumberFormat="1" applyFont="1" applyFill="1" applyBorder="1"/>
    <x:xf numFmtId="200" fontId="7" fillId="6" borderId="1" xfId="0" applyNumberFormat="1" applyFont="1" applyFill="1" applyBorder="1"/>
    <x:xf numFmtId="200" fontId="0" fillId="6" borderId="3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left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left"/>
    </x:xf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8" fillId="6" borderId="10" xfId="0" applyNumberFormat="1" applyFont="1" applyFill="1" applyBorder="1"/>
    <x:xf numFmtId="0" fontId="8" fillId="6" borderId="11" xfId="0" applyNumberFormat="1" applyFont="1" applyFill="1" applyBorder="1"/>
    <x:xf numFmtId="203" fontId="8" fillId="6" borderId="10" xfId="0" applyNumberFormat="1" applyFont="1" applyFill="1" applyBorder="1"/>
    <x:xf numFmtId="203" fontId="8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8" fillId="6" borderId="12" xfId="0" applyNumberFormat="1" applyFont="1" applyFill="1" applyBorder="1"/>
    <x:xf numFmtId="0" fontId="8" fillId="6" borderId="13" xfId="0" applyNumberFormat="1" applyFont="1" applyFill="1" applyBorder="1"/>
    <x:xf numFmtId="203" fontId="8" fillId="6" borderId="12" xfId="0" applyNumberFormat="1" applyFont="1" applyFill="1" applyBorder="1"/>
    <x:xf numFmtId="203" fontId="8" fillId="6" borderId="13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7" fillId="8" borderId="3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2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wrapText="1"/>
    </x:xf>
    <x:xf numFmtId="0" fontId="10" fillId="0" borderId="1" xfId="0" applyNumberFormat="1" applyFont="1" applyFill="1" applyBorder="1"/>
    <x:xf numFmtId="0" fontId="10" fillId="0" borderId="3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7" fillId="8" borderId="2" xfId="0" applyNumberFormat="1" applyFont="1" applyFill="1" applyBorder="1" applyAlignment="1">
      <x:alignment vertical="center" wrapText="1"/>
    </x:xf>
    <x:xf numFmtId="0" fontId="0" fillId="8" borderId="2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0" fontId="0" fillId="8" borderId="3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wrapText="1"/>
    </x:xf>
    <x:xf numFmtId="0" fontId="11" fillId="0" borderId="2" xfId="0" applyNumberFormat="1" applyFont="1" applyFill="1" applyBorder="1" applyAlignment="1">
      <x:alignment wrapText="1"/>
    </x:xf>
    <x:xf numFmtId="0" fontId="11" fillId="0" borderId="2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wrapText="1"/>
    </x:xf>
    <x:xf numFmtId="0" fontId="11" fillId="0" borderId="3" xfId="0" applyNumberFormat="1" applyFont="1" applyFill="1" applyBorder="1" applyAlignment="1">
      <x:alignment wrapText="1"/>
    </x:xf>
    <x:xf numFmtId="0" fontId="11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f43123c2b42b5" /><Relationship Type="http://schemas.openxmlformats.org/officeDocument/2006/relationships/theme" Target="/xl/theme/theme1.xml" Id="R4964472dd46744a4" /><Relationship Type="http://schemas.openxmlformats.org/officeDocument/2006/relationships/sharedStrings" Target="/xl/sharedStrings.xml" Id="R7c096842786a4e20" /><Relationship Type="http://schemas.openxmlformats.org/officeDocument/2006/relationships/worksheet" Target="/xl/worksheets/sheet1.xml" Id="Rc7d2a3e1262b4194" /><Relationship Type="http://schemas.openxmlformats.org/officeDocument/2006/relationships/worksheet" Target="/xl/worksheets/sheet2.xml" Id="R8f39417a7c4c4e7c" /><Relationship Type="http://schemas.openxmlformats.org/officeDocument/2006/relationships/worksheet" Target="/xl/worksheets/sheet3.xml" Id="Rf98edea6c4824005" /><Relationship Type="http://schemas.openxmlformats.org/officeDocument/2006/relationships/worksheet" Target="/xl/worksheets/sheet4.xml" Id="R82a5c2371e6240ae" /><Relationship Type="http://schemas.openxmlformats.org/officeDocument/2006/relationships/worksheet" Target="/xl/worksheets/sheet5.xml" Id="Rb1a45f1c6df7482a" /><Relationship Type="http://schemas.openxmlformats.org/officeDocument/2006/relationships/worksheet" Target="/xl/worksheets/sheet6.xml" Id="R21bac3c56cb84a7a" /><Relationship Type="http://schemas.openxmlformats.org/officeDocument/2006/relationships/worksheet" Target="/xl/worksheets/sheet7.xml" Id="Rad140fa8d4494ea1" /><Relationship Type="http://schemas.openxmlformats.org/officeDocument/2006/relationships/worksheet" Target="/xl/worksheets/sheet8.xml" Id="R851edbaf26d1448c" /><Relationship Type="http://schemas.openxmlformats.org/officeDocument/2006/relationships/worksheet" Target="/xl/worksheets/sheet9.xml" Id="R7c83f9a146d84215" /><Relationship Type="http://schemas.openxmlformats.org/officeDocument/2006/relationships/worksheet" Target="/xl/worksheets/sheet10.xml" Id="Rc7d6dc0d9d8740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0d972292d3e4fc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ea60ac320e84e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İdeal Kütle Yasası Eğrisi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İdeal Kütle Yasası R [dB]</c:v>
          </c:tx>
          <c:cat>
            <c:strRef>
              <c:f>'Hesap_Duvar'!$A$21:$A$41</c:f>
              <c:strCache>
                <c:ptCount val="0"/>
              </c:strCache>
            </c:strRef>
          </c:cat>
          <c:val>
            <c:numRef>
              <c:f>'Hesap_Duvar'!$B$21:$B$41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Veri Tabanı Kapsamı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Satır Sayısı</c:v>
          </c:tx>
          <c:cat>
            <c:strRef>
              <c:f>'README_Kullanim'!$A$5:$A$10</c:f>
              <c:strCache>
                <c:ptCount val="0"/>
              </c:strCache>
            </c:strRef>
          </c:cat>
          <c:val>
            <c:numRef>
              <c:f>'README_Kullanim'!$B$5:$B$10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d972292d3e4fc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34</xdr:row>
      <xdr:rowOff>0</xdr:rowOff>
    </xdr:from>
    <xdr:to>
      <xdr:col>6</xdr:col>
      <xdr:colOff>0</xdr:colOff>
      <xdr:row>51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a60ac320e84e7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DuvarKatmanlari" displayName="TblDuvarKatmanlari" ref="A4:W450" headerRowCount="1">
  <x:tableColumns count="23">
    <x:tableColumn id="1" name="Material_ID"/>
    <x:tableColumn id="2" name="Ana_Grup"/>
    <x:tableColumn id="3" name="Alt_Tür / Sınıf"/>
    <x:tableColumn id="4" name="Üretici"/>
    <x:tableColumn id="5" name="Ürün / Model"/>
    <x:tableColumn id="6" name="Veri_Sınıfı"/>
    <x:tableColumn id="7" name="Kalınlık_d [mm]"/>
    <x:tableColumn id="8" name="Yoğunluk_ρ [kg/m³]"/>
    <x:tableColumn id="9" name="Yüzey_Kütlesi_m' [kg/m²]"/>
    <x:tableColumn id="10" name="E_Etkili_Dinamik [GPa]"/>
    <x:tableColumn id="11" name="Poisson_ν [-]"/>
    <x:tableColumn id="12" name="Kayıp_Faktörü_η [-]"/>
    <x:tableColumn id="13" name="G [GPa]"/>
    <x:tableColumn id="14" name="cL [m/s]"/>
    <x:tableColumn id="15" name="ZL [MRayl]"/>
    <x:tableColumn id="16" name="Eğilme_Rijitliği_D [N·m]"/>
    <x:tableColumn id="17" name="Kritik_Frekans_fc [Hz]"/>
    <x:tableColumn id="18" name="Basınç_Dayanımı [MPa]"/>
    <x:tableColumn id="19" name="λ [W/mK]"/>
    <x:tableColumn id="20" name="Koşul / Nem"/>
    <x:tableColumn id="21" name="Güven_Düzeyi"/>
    <x:tableColumn id="22" name="Kaynak_URL"/>
    <x:tableColumn id="23" name="Notlar"/>
  </x:tableColumns>
  <x:tableStyleInfo name="TableStyleMedium2" showRowStripes="1"/>
</x:table>
</file>

<file path=xl/tables/table2.xml><?xml version="1.0" encoding="utf-8"?>
<x:table xmlns:x="http://schemas.openxmlformats.org/spreadsheetml/2006/main" id="2" name="TblPorozElastik" displayName="TblPorozElastik" ref="A4:X276" headerRowCount="1">
  <x:tableColumns count="24">
    <x:tableColumn id="1" name="Absorber_ID"/>
    <x:tableColumn id="2" name="Ana_Grup"/>
    <x:tableColumn id="3" name="Alt_Tür"/>
    <x:tableColumn id="4" name="Üretici"/>
    <x:tableColumn id="5" name="Ürün / Model"/>
    <x:tableColumn id="6" name="Veri_Sınıfı"/>
    <x:tableColumn id="7" name="Kalınlık_d [mm]"/>
    <x:tableColumn id="8" name="Yoğunluk [kg/m³]"/>
    <x:tableColumn id="9" name="Akış_Özdirenci_σ [Pa·s/m²]"/>
    <x:tableColumn id="10" name="Tabaka_Akış_Direnci_rₛ [Pa·s/m]"/>
    <x:tableColumn id="11" name="Porozite_φ [-]"/>
    <x:tableColumn id="12" name="Tortuozite_α∞ [-]"/>
    <x:tableColumn id="13" name="Viskoz_Karakteristik_Uzunluk_Λ [µm]"/>
    <x:tableColumn id="14" name="Termal_Karakteristik_Uzunluk_Λ' [µm]"/>
    <x:tableColumn id="15" name="Çerçeve_E [kPa]"/>
    <x:tableColumn id="16" name="Çerçeve_ν [-]"/>
    <x:tableColumn id="17" name="Çerçeve_η [-]"/>
    <x:tableColumn id="18" name="Dinamik_Rijitlik_s' [MN/m³]"/>
    <x:tableColumn id="19" name="Akışkan_ρ0 [kg/m³]"/>
    <x:tableColumn id="20" name="Ses_Hızı_c0 [m/s]"/>
    <x:tableColumn id="21" name="Z0=ρ0c0 [Pa·s/m]"/>
    <x:tableColumn id="22" name="Güven_Düzeyi"/>
    <x:tableColumn id="23" name="Kaynak_URL"/>
    <x:tableColumn id="24" name="Notlar"/>
  </x:tableColumns>
  <x:tableStyleInfo name="TableStyleMedium2" showRowStripes="1"/>
</x:table>
</file>

<file path=xl/tables/table3.xml><?xml version="1.0" encoding="utf-8"?>
<x:table xmlns:x="http://schemas.openxmlformats.org/spreadsheetml/2006/main" id="3" name="TblBariyerDamping" displayName="TblBariyerDamping" ref="A4:S42" headerRowCount="1">
  <x:tableColumns count="19">
    <x:tableColumn id="1" name="ID"/>
    <x:tableColumn id="2" name="Grup"/>
    <x:tableColumn id="3" name="Alt_Tür"/>
    <x:tableColumn id="4" name="Üretici"/>
    <x:tableColumn id="5" name="Model"/>
    <x:tableColumn id="6" name="Veri_Sınıfı"/>
    <x:tableColumn id="7" name="Kalınlık [mm]"/>
    <x:tableColumn id="8" name="Yüzey_Kütlesi [kg/m²]"/>
    <x:tableColumn id="9" name="Yoğunluk [kg/m³]"/>
    <x:tableColumn id="10" name="E' veya G' [MPa]"/>
    <x:tableColumn id="11" name="Poisson_ν [-]"/>
    <x:tableColumn id="12" name="Kayıp_Faktörü_η [-]"/>
    <x:tableColumn id="13" name="Referans_Sıcaklık [°C]"/>
    <x:tableColumn id="14" name="Referans_Frekans [Hz]"/>
    <x:tableColumn id="15" name="Uygulama / Sistem"/>
    <x:tableColumn id="16" name="Akustik_Sonuç"/>
    <x:tableColumn id="17" name="Güven_Düzeyi"/>
    <x:tableColumn id="18" name="Kaynak_URL"/>
    <x:tableColumn id="19" name="Notlar"/>
  </x:tableColumns>
  <x:tableStyleInfo name="TableStyleMedium2" showRowStripes="1"/>
</x:table>
</file>

<file path=xl/tables/table4.xml><?xml version="1.0" encoding="utf-8"?>
<x:table xmlns:x="http://schemas.openxmlformats.org/spreadsheetml/2006/main" id="4" name="TblZeminKatmanlari" displayName="TblZeminKatmanlari" ref="A4:S144" headerRowCount="1">
  <x:tableColumns count="19">
    <x:tableColumn id="1" name="Layer_ID"/>
    <x:tableColumn id="2" name="Ana_Grup"/>
    <x:tableColumn id="3" name="Alt_Tür"/>
    <x:tableColumn id="4" name="Üretici"/>
    <x:tableColumn id="5" name="Ürün / Model"/>
    <x:tableColumn id="6" name="Veri_Sınıfı"/>
    <x:tableColumn id="7" name="Kalınlık [mm]"/>
    <x:tableColumn id="8" name="Yoğunluk [kg/m³]"/>
    <x:tableColumn id="9" name="Yüzey_Kütlesi [kg/m²]"/>
    <x:tableColumn id="10" name="E_Dinamik [GPa]"/>
    <x:tableColumn id="11" name="Poisson_ν [-]"/>
    <x:tableColumn id="12" name="Kayıp_Faktörü_η [-]"/>
    <x:tableColumn id="13" name="Dinamik_Rijitlik_s' [MN/m³]"/>
    <x:tableColumn id="14" name="Sıkışabilirlik [mm]"/>
    <x:tableColumn id="15" name="λ [W/mK]"/>
    <x:tableColumn id="16" name="Uygulama"/>
    <x:tableColumn id="17" name="Güven_Düzeyi"/>
    <x:tableColumn id="18" name="Kaynak_URL"/>
    <x:tableColumn id="19" name="Notlar"/>
  </x:tableColumns>
  <x:tableStyleInfo name="TableStyleMedium2" showRowStripes="1"/>
</x:table>
</file>

<file path=xl/tables/table5.xml><?xml version="1.0" encoding="utf-8"?>
<x:table xmlns:x="http://schemas.openxmlformats.org/spreadsheetml/2006/main" id="5" name="TblDeltaLnw" displayName="TblDeltaLnw" ref="A4:T48" headerRowCount="1">
  <x:tableColumns count="20">
    <x:tableColumn id="1" name="Test_ID"/>
    <x:tableColumn id="2" name="Ürün_Türü"/>
    <x:tableColumn id="3" name="Üretici"/>
    <x:tableColumn id="4" name="Ürün / Model"/>
    <x:tableColumn id="5" name="Test_Sistemi"/>
    <x:tableColumn id="6" name="Kalınlık [mm]"/>
    <x:tableColumn id="7" name="Yüzey_Kütlesi [kg/m²]"/>
    <x:tableColumn id="8" name="Dinamik_Rijitlik_s' [MN/m³]"/>
    <x:tableColumn id="9" name="Sıkışabilirlik [mm]"/>
    <x:tableColumn id="10" name="Sonuç_Sembolü"/>
    <x:tableColumn id="11" name="Δ_Min [dB]"/>
    <x:tableColumn id="12" name="Δ_Beyan [dB]"/>
    <x:tableColumn id="13" name="Δ_Max [dB]"/>
    <x:tableColumn id="14" name="Test_Standardı"/>
    <x:tableColumn id="15" name="Referans_Döşeme"/>
    <x:tableColumn id="16" name="Şap / Kaplama Koşulu"/>
    <x:tableColumn id="17" name="Veri_Sınıfı"/>
    <x:tableColumn id="18" name="Güven_Düzeyi"/>
    <x:tableColumn id="19" name="Kaynak_URL"/>
    <x:tableColumn id="20" name="Notlar"/>
  </x:tableColumns>
  <x:tableStyleInfo name="TableStyleMedium2" showRowStripes="1"/>
</x:table>
</file>

<file path=xl/tables/table6.xml><?xml version="1.0" encoding="utf-8"?>
<x:table xmlns:x="http://schemas.openxmlformats.org/spreadsheetml/2006/main" id="6" name="TblParametreSozlugu" displayName="TblParametreSozlugu" ref="A4:H29" headerRowCount="1">
  <x:tableColumns count="8">
    <x:tableColumn id="1" name="Sembol"/>
    <x:tableColumn id="2" name="Türkçe Ad"/>
    <x:tableColumn id="3" name="SI Birimi"/>
    <x:tableColumn id="4" name="Alan"/>
    <x:tableColumn id="5" name="Frekansa Bağımlı mı?"/>
    <x:tableColumn id="6" name="Tipik Kaynak / Ölçüm"/>
    <x:tableColumn id="7" name="Hesaptaki Rol"/>
    <x:tableColumn id="8" name="Kritik Uyarı"/>
  </x:tableColumns>
  <x:tableStyleInfo name="TableStyleMedium2" showRowStripes="1"/>
</x:table>
</file>

<file path=xl/tables/table7.xml><?xml version="1.0" encoding="utf-8"?>
<x:table xmlns:x="http://schemas.openxmlformats.org/spreadsheetml/2006/main" id="7" name="TblKaynaklar" displayName="TblKaynaklar" ref="A4:G29" headerRowCount="1">
  <x:tableColumns count="7">
    <x:tableColumn id="1" name="Kaynak_ID"/>
    <x:tableColumn id="2" name="Konu"/>
    <x:tableColumn id="3" name="Kuruluş / Üretici"/>
    <x:tableColumn id="4" name="Belge / Sayfa"/>
    <x:tableColumn id="5" name="URL"/>
    <x:tableColumn id="6" name="Bu Dosyada Kullanılan Veri"/>
    <x:tableColumn id="7" name="Kritik No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9a14391df14a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3f8d8287bd4f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12fe2a66744d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41e4861982741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8c3e80dfd6142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2338c15bc0549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3bc069556e5242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d577f7bc4fa439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5dcc5b30c23c484a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9" hidden="0" customWidth="1"/>
    <x:col min="3" max="3" width="31" hidden="0" customWidth="1"/>
    <x:col min="4" max="4" width="18" hidden="0" customWidth="1"/>
    <x:col min="5" max="5" width="25" hidden="0" customWidth="1"/>
    <x:col min="6" max="6" width="23" hidden="0" customWidth="1"/>
    <x:col min="7" max="7" width="12" hidden="0" customWidth="1"/>
    <x:col min="8" max="8" width="14" hidden="0" customWidth="1"/>
    <x:col min="9" max="9" width="15" hidden="0" customWidth="1"/>
    <x:col min="10" max="10" width="15" hidden="0" customWidth="1"/>
    <x:col min="11" max="11" width="11" hidden="0" customWidth="1"/>
    <x:col min="12" max="12" width="13" hidden="0" customWidth="1"/>
    <x:col min="13" max="13" width="12" hidden="0" customWidth="1"/>
    <x:col min="14" max="14" width="12" hidden="0" customWidth="1"/>
    <x:col min="15" max="15" width="12" hidden="0" customWidth="1"/>
    <x:col min="16" max="16" width="16" hidden="0" customWidth="1"/>
    <x:col min="17" max="17" width="15" hidden="0" customWidth="1"/>
    <x:col min="18" max="18" width="15" hidden="0" customWidth="1"/>
    <x:col min="19" max="19" width="11" hidden="0" customWidth="1"/>
    <x:col min="20" max="20" width="18" hidden="0" customWidth="1"/>
    <x:col min="21" max="21" width="20" hidden="0" customWidth="1"/>
    <x:col min="22" max="22" width="42" hidden="0" customWidth="1"/>
    <x:col min="23" max="23" width="48" hidden="0" customWidth="1"/>
  </x:cols>
  <x:sheetData>
    <x:row r="1" ht="30" customHeight="1">
      <x:c r="A1" s="5" t="str">
        <x:v>DUVAR KATMANLARI – katı/levha/masonry malzeme veri tabanı</x:v>
      </x:c>
    </x:row>
    <x:row r="2" ht="34" customHeight="1">
      <x:c r="A2" s="13" t="str">
        <x:v>SI birimleri. E ve η çoğu üründe laboratuvar dinamik verisi bulunmadığından etkin başlangıç değeridir. Rw bir malzeme özelliği değil, tüm yapı elemanı/bağlantı sisteminin ölçülen veya hesaplanan sonucudur.</x:v>
      </x:c>
    </x:row>
    <x:row r="4" ht="42" customHeight="1">
      <x:c r="A4" s="23" t="str">
        <x:v>Material_ID</x:v>
      </x:c>
      <x:c r="B4" s="23" t="str">
        <x:v>Ana_Grup</x:v>
      </x:c>
      <x:c r="C4" s="23" t="str">
        <x:v>Alt_Tür / Sınıf</x:v>
      </x:c>
      <x:c r="D4" s="23" t="str">
        <x:v>Üretici</x:v>
      </x:c>
      <x:c r="E4" s="23" t="str">
        <x:v>Ürün / Model</x:v>
      </x:c>
      <x:c r="F4" s="23" t="str">
        <x:v>Veri_Sınıfı</x:v>
      </x:c>
      <x:c r="G4" s="23" t="str">
        <x:v>Kalınlık_d [mm]</x:v>
      </x:c>
      <x:c r="H4" s="23" t="str">
        <x:v>Yoğunluk_ρ [kg/m³]</x:v>
      </x:c>
      <x:c r="I4" s="23" t="str">
        <x:v>Yüzey_Kütlesi_m' [kg/m²]</x:v>
      </x:c>
      <x:c r="J4" s="23" t="str">
        <x:v>E_Etkili_Dinamik [GPa]</x:v>
      </x:c>
      <x:c r="K4" s="23" t="str">
        <x:v>Poisson_ν [-]</x:v>
      </x:c>
      <x:c r="L4" s="23" t="str">
        <x:v>Kayıp_Faktörü_η [-]</x:v>
      </x:c>
      <x:c r="M4" s="23" t="str">
        <x:v>G [GPa]</x:v>
      </x:c>
      <x:c r="N4" s="23" t="str">
        <x:v>cL [m/s]</x:v>
      </x:c>
      <x:c r="O4" s="23" t="str">
        <x:v>ZL [MRayl]</x:v>
      </x:c>
      <x:c r="P4" s="23" t="str">
        <x:v>Eğilme_Rijitliği_D [N·m]</x:v>
      </x:c>
      <x:c r="Q4" s="23" t="str">
        <x:v>Kritik_Frekans_fc [Hz]</x:v>
      </x:c>
      <x:c r="R4" s="23" t="str">
        <x:v>Basınç_Dayanımı [MPa]</x:v>
      </x:c>
      <x:c r="S4" s="23" t="str">
        <x:v>λ [W/mK]</x:v>
      </x:c>
      <x:c r="T4" s="23" t="str">
        <x:v>Koşul / Nem</x:v>
      </x:c>
      <x:c r="U4" s="23" t="str">
        <x:v>Güven_Düzeyi</x:v>
      </x:c>
      <x:c r="V4" s="23" t="str">
        <x:v>Kaynak_URL</x:v>
      </x:c>
      <x:c r="W4" s="23" t="str">
        <x:v>Notlar</x:v>
      </x:c>
    </x:row>
    <x:row r="5">
      <x:c r="A5" s="46" t="str">
        <x:v>GB-EN520-A-9p5</x:v>
      </x:c>
      <x:c r="B5" s="46" t="str">
        <x:v>Alçı levha</x:v>
      </x:c>
      <x:c r="C5" s="46" t="str">
        <x:v>EN 520 Tip A – standart</x:v>
      </x:c>
      <x:c r="D5" s="46" t="str">
        <x:v>GENERIC</x:v>
      </x:c>
      <x:c r="E5" s="46" t="str">
        <x:v>EN520-A</x:v>
      </x:c>
      <x:c r="F5" s="70" t="str">
        <x:v>ENGINEERING_DEFAULT</x:v>
      </x:c>
      <x:c r="G5" s="54" t="n">
        <x:v>9.5</x:v>
      </x:c>
      <x:c r="H5" s="54" t="n">
        <x:v>720</x:v>
      </x:c>
      <x:c r="I5" s="74" t="n">
        <x:f>IF(OR(G5="",H5=""),"",G5/1000*H5)</x:f>
        <x:v>6.84</x:v>
      </x:c>
      <x:c r="J5" s="75" t="n">
        <x:v>2.5</x:v>
      </x:c>
      <x:c r="K5" s="75" t="n">
        <x:v>0.25</x:v>
      </x:c>
      <x:c r="L5" s="75" t="n">
        <x:v>0.015</x:v>
      </x:c>
      <x:c r="M5" s="75" t="n">
        <x:f>IF(OR(J5="",K5=""),"",J5/(2*(1+K5)))</x:f>
        <x:v>1</x:v>
      </x:c>
      <x:c r="N5" s="76" t="n">
        <x:f>IF(OR(J5="",H5="",K5=""),"",SQRT(J5*1000000000*(1-K5)/(H5*(1+K5)*(1-2*K5))))</x:f>
        <x:v>2041.241452319315</x:v>
      </x:c>
      <x:c r="O5" s="75" t="n">
        <x:f>IF(OR(H5="",N5=""),"",H5*N5/1000000)</x:f>
        <x:v>1.469693845669907</x:v>
      </x:c>
      <x:c r="P5" s="74" t="n">
        <x:f>IF(OR(J5="",G5="",K5=""),"",J5*1000000000*(G5/1000)^3/(12*(1-K5^2)))</x:f>
        <x:v>190.52777777777777</x:v>
      </x:c>
      <x:c r="Q5" s="76" t="n">
        <x:f>IF(OR(I5="",P5=""),"",343.2^2/(2*PI())*SQRT(I5/P5))</x:f>
        <x:v>3551.9233877447355</x:v>
      </x:c>
      <x:c r="R5" s="58"/>
      <x:c r="S5" s="62" t="n">
        <x:v>0.25</x:v>
      </x:c>
      <x:c r="T5" s="46" t="str">
        <x:v>20 °C / kuru nominal</x:v>
      </x:c>
      <x:c r="U5" s="46" t="str">
        <x:v>DÜŞÜK-ORTA</x:v>
      </x:c>
      <x:c r="V5" s="46" t="str"/>
      <x:c r="W5" s="50" t="str">
        <x:v>Temkinli mühendislik başlangıç değeri; üretici dinamik modül/yoğunluk verisiyle güncellenmelidir.</x:v>
      </x:c>
    </x:row>
    <x:row r="6">
      <x:c r="A6" s="46" t="str">
        <x:v>GB-EN520-A-12p5</x:v>
      </x:c>
      <x:c r="B6" s="46" t="str">
        <x:v>Alçı levha</x:v>
      </x:c>
      <x:c r="C6" s="46" t="str">
        <x:v>EN 520 Tip A – standart</x:v>
      </x:c>
      <x:c r="D6" s="46" t="str">
        <x:v>GENERIC</x:v>
      </x:c>
      <x:c r="E6" s="46" t="str">
        <x:v>EN520-A</x:v>
      </x:c>
      <x:c r="F6" s="70" t="str">
        <x:v>ENGINEERING_DEFAULT</x:v>
      </x:c>
      <x:c r="G6" s="54" t="n">
        <x:v>12.5</x:v>
      </x:c>
      <x:c r="H6" s="54" t="n">
        <x:v>720</x:v>
      </x:c>
      <x:c r="I6" s="74" t="n">
        <x:f>IF(OR(G6="",H6=""),"",G6/1000*H6)</x:f>
        <x:v>9</x:v>
      </x:c>
      <x:c r="J6" s="75" t="n">
        <x:v>2.5</x:v>
      </x:c>
      <x:c r="K6" s="75" t="n">
        <x:v>0.25</x:v>
      </x:c>
      <x:c r="L6" s="75" t="n">
        <x:v>0.015</x:v>
      </x:c>
      <x:c r="M6" s="75" t="n">
        <x:f>IF(OR(J6="",K6=""),"",J6/(2*(1+K6)))</x:f>
        <x:v>1</x:v>
      </x:c>
      <x:c r="N6" s="76" t="n">
        <x:f>IF(OR(J6="",H6="",K6=""),"",SQRT(J6*1000000000*(1-K6)/(H6*(1+K6)*(1-2*K6))))</x:f>
        <x:v>2041.241452319315</x:v>
      </x:c>
      <x:c r="O6" s="75" t="n">
        <x:f>IF(OR(H6="",N6=""),"",H6*N6/1000000)</x:f>
        <x:v>1.469693845669907</x:v>
      </x:c>
      <x:c r="P6" s="74" t="n">
        <x:f>IF(OR(J6="",G6="",K6=""),"",J6*1000000000*(G6/1000)^3/(12*(1-K6^2)))</x:f>
        <x:v>434.0277777777779</x:v>
      </x:c>
      <x:c r="Q6" s="76" t="n">
        <x:f>IF(OR(I6="",P6=""),"",343.2^2/(2*PI())*SQRT(I6/P6))</x:f>
        <x:v>2699.4617746859985</x:v>
      </x:c>
      <x:c r="R6" s="58"/>
      <x:c r="S6" s="62" t="n">
        <x:v>0.25</x:v>
      </x:c>
      <x:c r="T6" s="46" t="str">
        <x:v>20 °C / kuru nominal</x:v>
      </x:c>
      <x:c r="U6" s="46" t="str">
        <x:v>DÜŞÜK-ORTA</x:v>
      </x:c>
      <x:c r="V6" s="46" t="str"/>
      <x:c r="W6" s="50" t="str">
        <x:v>Temkinli mühendislik başlangıç değeri; üretici dinamik modül/yoğunluk verisiyle güncellenmelidir.</x:v>
      </x:c>
    </x:row>
    <x:row r="7">
      <x:c r="A7" s="46" t="str">
        <x:v>GB-EN520-A-15</x:v>
      </x:c>
      <x:c r="B7" s="46" t="str">
        <x:v>Alçı levha</x:v>
      </x:c>
      <x:c r="C7" s="46" t="str">
        <x:v>EN 520 Tip A – standart</x:v>
      </x:c>
      <x:c r="D7" s="46" t="str">
        <x:v>GENERIC</x:v>
      </x:c>
      <x:c r="E7" s="46" t="str">
        <x:v>EN520-A</x:v>
      </x:c>
      <x:c r="F7" s="70" t="str">
        <x:v>ENGINEERING_DEFAULT</x:v>
      </x:c>
      <x:c r="G7" s="54" t="n">
        <x:v>15</x:v>
      </x:c>
      <x:c r="H7" s="54" t="n">
        <x:v>720</x:v>
      </x:c>
      <x:c r="I7" s="74" t="n">
        <x:f>IF(OR(G7="",H7=""),"",G7/1000*H7)</x:f>
        <x:v>10.799999999999999</x:v>
      </x:c>
      <x:c r="J7" s="75" t="n">
        <x:v>2.5</x:v>
      </x:c>
      <x:c r="K7" s="75" t="n">
        <x:v>0.25</x:v>
      </x:c>
      <x:c r="L7" s="75" t="n">
        <x:v>0.015</x:v>
      </x:c>
      <x:c r="M7" s="75" t="n">
        <x:f>IF(OR(J7="",K7=""),"",J7/(2*(1+K7)))</x:f>
        <x:v>1</x:v>
      </x:c>
      <x:c r="N7" s="76" t="n">
        <x:f>IF(OR(J7="",H7="",K7=""),"",SQRT(J7*1000000000*(1-K7)/(H7*(1+K7)*(1-2*K7))))</x:f>
        <x:v>2041.241452319315</x:v>
      </x:c>
      <x:c r="O7" s="75" t="n">
        <x:f>IF(OR(H7="",N7=""),"",H7*N7/1000000)</x:f>
        <x:v>1.469693845669907</x:v>
      </x:c>
      <x:c r="P7" s="74" t="n">
        <x:f>IF(OR(J7="",G7="",K7=""),"",J7*1000000000*(G7/1000)^3/(12*(1-K7^2)))</x:f>
        <x:v>750</x:v>
      </x:c>
      <x:c r="Q7" s="76" t="n">
        <x:f>IF(OR(I7="",P7=""),"",343.2^2/(2*PI())*SQRT(I7/P7))</x:f>
        <x:v>2249.551478904999</x:v>
      </x:c>
      <x:c r="R7" s="58"/>
      <x:c r="S7" s="62" t="n">
        <x:v>0.25</x:v>
      </x:c>
      <x:c r="T7" s="46" t="str">
        <x:v>20 °C / kuru nominal</x:v>
      </x:c>
      <x:c r="U7" s="46" t="str">
        <x:v>DÜŞÜK-ORTA</x:v>
      </x:c>
      <x:c r="V7" s="46" t="str"/>
      <x:c r="W7" s="50" t="str">
        <x:v>Temkinli mühendislik başlangıç değeri; üretici dinamik modül/yoğunluk verisiyle güncellenmelidir.</x:v>
      </x:c>
    </x:row>
    <x:row r="8">
      <x:c r="A8" s="46" t="str">
        <x:v>GB-EN520-A-18</x:v>
      </x:c>
      <x:c r="B8" s="46" t="str">
        <x:v>Alçı levha</x:v>
      </x:c>
      <x:c r="C8" s="46" t="str">
        <x:v>EN 520 Tip A – standart</x:v>
      </x:c>
      <x:c r="D8" s="46" t="str">
        <x:v>GENERIC</x:v>
      </x:c>
      <x:c r="E8" s="46" t="str">
        <x:v>EN520-A</x:v>
      </x:c>
      <x:c r="F8" s="70" t="str">
        <x:v>ENGINEERING_DEFAULT</x:v>
      </x:c>
      <x:c r="G8" s="54" t="n">
        <x:v>18</x:v>
      </x:c>
      <x:c r="H8" s="54" t="n">
        <x:v>720</x:v>
      </x:c>
      <x:c r="I8" s="74" t="n">
        <x:f>IF(OR(G8="",H8=""),"",G8/1000*H8)</x:f>
        <x:v>12.959999999999999</x:v>
      </x:c>
      <x:c r="J8" s="75" t="n">
        <x:v>2.5</x:v>
      </x:c>
      <x:c r="K8" s="75" t="n">
        <x:v>0.25</x:v>
      </x:c>
      <x:c r="L8" s="75" t="n">
        <x:v>0.015</x:v>
      </x:c>
      <x:c r="M8" s="75" t="n">
        <x:f>IF(OR(J8="",K8=""),"",J8/(2*(1+K8)))</x:f>
        <x:v>1</x:v>
      </x:c>
      <x:c r="N8" s="76" t="n">
        <x:f>IF(OR(J8="",H8="",K8=""),"",SQRT(J8*1000000000*(1-K8)/(H8*(1+K8)*(1-2*K8))))</x:f>
        <x:v>2041.241452319315</x:v>
      </x:c>
      <x:c r="O8" s="75" t="n">
        <x:f>IF(OR(H8="",N8=""),"",H8*N8/1000000)</x:f>
        <x:v>1.469693845669907</x:v>
      </x:c>
      <x:c r="P8" s="74" t="n">
        <x:f>IF(OR(J8="",G8="",K8=""),"",J8*1000000000*(G8/1000)^3/(12*(1-K8^2)))</x:f>
        <x:v>1295.9999999999998</x:v>
      </x:c>
      <x:c r="Q8" s="76" t="n">
        <x:f>IF(OR(I8="",P8=""),"",343.2^2/(2*PI())*SQRT(I8/P8))</x:f>
        <x:v>1874.6262324208326</x:v>
      </x:c>
      <x:c r="R8" s="58"/>
      <x:c r="S8" s="62" t="n">
        <x:v>0.25</x:v>
      </x:c>
      <x:c r="T8" s="46" t="str">
        <x:v>20 °C / kuru nominal</x:v>
      </x:c>
      <x:c r="U8" s="46" t="str">
        <x:v>DÜŞÜK-ORTA</x:v>
      </x:c>
      <x:c r="V8" s="46" t="str"/>
      <x:c r="W8" s="50" t="str">
        <x:v>Temkinli mühendislik başlangıç değeri; üretici dinamik modül/yoğunluk verisiyle güncellenmelidir.</x:v>
      </x:c>
    </x:row>
    <x:row r="9">
      <x:c r="A9" s="46" t="str">
        <x:v>GB-EN520-D-12p5</x:v>
      </x:c>
      <x:c r="B9" s="46" t="str">
        <x:v>Alçı levha</x:v>
      </x:c>
      <x:c r="C9" s="46" t="str">
        <x:v>EN 520 Tip D – kontrollü yoğunluk</x:v>
      </x:c>
      <x:c r="D9" s="46" t="str">
        <x:v>GENERIC</x:v>
      </x:c>
      <x:c r="E9" s="46" t="str">
        <x:v>EN520-D</x:v>
      </x:c>
      <x:c r="F9" s="70" t="str">
        <x:v>ENGINEERING_DEFAULT</x:v>
      </x:c>
      <x:c r="G9" s="54" t="n">
        <x:v>12.5</x:v>
      </x:c>
      <x:c r="H9" s="54" t="n">
        <x:v>950</x:v>
      </x:c>
      <x:c r="I9" s="74" t="n">
        <x:f>IF(OR(G9="",H9=""),"",G9/1000*H9)</x:f>
        <x:v>11.875</x:v>
      </x:c>
      <x:c r="J9" s="75" t="n">
        <x:v>3.2</x:v>
      </x:c>
      <x:c r="K9" s="75" t="n">
        <x:v>0.25</x:v>
      </x:c>
      <x:c r="L9" s="75" t="n">
        <x:v>0.018</x:v>
      </x:c>
      <x:c r="M9" s="75" t="n">
        <x:f>IF(OR(J9="",K9=""),"",J9/(2*(1+K9)))</x:f>
        <x:v>1.28</x:v>
      </x:c>
      <x:c r="N9" s="76" t="n">
        <x:f>IF(OR(J9="",H9="",K9=""),"",SQRT(J9*1000000000*(1-K9)/(H9*(1+K9)*(1-2*K9))))</x:f>
        <x:v>2010.4987598001385</x:v>
      </x:c>
      <x:c r="O9" s="75" t="n">
        <x:f>IF(OR(H9="",N9=""),"",H9*N9/1000000)</x:f>
        <x:v>1.9099738218101316</x:v>
      </x:c>
      <x:c r="P9" s="74" t="n">
        <x:f>IF(OR(J9="",G9="",K9=""),"",J9*1000000000*(G9/1000)^3/(12*(1-K9^2)))</x:f>
        <x:v>555.5555555555558</x:v>
      </x:c>
      <x:c r="Q9" s="76" t="n">
        <x:f>IF(OR(I9="",P9=""),"",343.2^2/(2*PI())*SQRT(I9/P9))</x:f>
        <x:v>2740.7394541184854</x:v>
      </x:c>
      <x:c r="R9" s="58"/>
      <x:c r="S9" s="62" t="n">
        <x:v>0.28</x:v>
      </x:c>
      <x:c r="T9" s="46" t="str">
        <x:v>20 °C / kuru nominal</x:v>
      </x:c>
      <x:c r="U9" s="46" t="str">
        <x:v>DÜŞÜK-ORTA</x:v>
      </x:c>
      <x:c r="V9" s="46" t="str"/>
      <x:c r="W9" s="50" t="str">
        <x:v>Temkinli mühendislik başlangıç değeri; üretici dinamik modül/yoğunluk verisiyle güncellenmelidir.</x:v>
      </x:c>
    </x:row>
    <x:row r="10">
      <x:c r="A10" s="46" t="str">
        <x:v>GB-EN520-D-15</x:v>
      </x:c>
      <x:c r="B10" s="46" t="str">
        <x:v>Alçı levha</x:v>
      </x:c>
      <x:c r="C10" s="46" t="str">
        <x:v>EN 520 Tip D – kontrollü yoğunluk</x:v>
      </x:c>
      <x:c r="D10" s="46" t="str">
        <x:v>GENERIC</x:v>
      </x:c>
      <x:c r="E10" s="46" t="str">
        <x:v>EN520-D</x:v>
      </x:c>
      <x:c r="F10" s="70" t="str">
        <x:v>ENGINEERING_DEFAULT</x:v>
      </x:c>
      <x:c r="G10" s="54" t="n">
        <x:v>15</x:v>
      </x:c>
      <x:c r="H10" s="54" t="n">
        <x:v>950</x:v>
      </x:c>
      <x:c r="I10" s="74" t="n">
        <x:f>IF(OR(G10="",H10=""),"",G10/1000*H10)</x:f>
        <x:v>14.25</x:v>
      </x:c>
      <x:c r="J10" s="75" t="n">
        <x:v>3.2</x:v>
      </x:c>
      <x:c r="K10" s="75" t="n">
        <x:v>0.25</x:v>
      </x:c>
      <x:c r="L10" s="75" t="n">
        <x:v>0.018</x:v>
      </x:c>
      <x:c r="M10" s="75" t="n">
        <x:f>IF(OR(J10="",K10=""),"",J10/(2*(1+K10)))</x:f>
        <x:v>1.28</x:v>
      </x:c>
      <x:c r="N10" s="76" t="n">
        <x:f>IF(OR(J10="",H10="",K10=""),"",SQRT(J10*1000000000*(1-K10)/(H10*(1+K10)*(1-2*K10))))</x:f>
        <x:v>2010.4987598001385</x:v>
      </x:c>
      <x:c r="O10" s="75" t="n">
        <x:f>IF(OR(H10="",N10=""),"",H10*N10/1000000)</x:f>
        <x:v>1.9099738218101316</x:v>
      </x:c>
      <x:c r="P10" s="74" t="n">
        <x:f>IF(OR(J10="",G10="",K10=""),"",J10*1000000000*(G10/1000)^3/(12*(1-K10^2)))</x:f>
        <x:v>960</x:v>
      </x:c>
      <x:c r="Q10" s="76" t="n">
        <x:f>IF(OR(I10="",P10=""),"",343.2^2/(2*PI())*SQRT(I10/P10))</x:f>
        <x:v>2283.949545098738</x:v>
      </x:c>
      <x:c r="R10" s="58"/>
      <x:c r="S10" s="62" t="n">
        <x:v>0.28</x:v>
      </x:c>
      <x:c r="T10" s="46" t="str">
        <x:v>20 °C / kuru nominal</x:v>
      </x:c>
      <x:c r="U10" s="46" t="str">
        <x:v>DÜŞÜK-ORTA</x:v>
      </x:c>
      <x:c r="V10" s="46" t="str"/>
      <x:c r="W10" s="50" t="str">
        <x:v>Temkinli mühendislik başlangıç değeri; üretici dinamik modül/yoğunluk verisiyle güncellenmelidir.</x:v>
      </x:c>
    </x:row>
    <x:row r="11">
      <x:c r="A11" s="46" t="str">
        <x:v>GB-EN520-E-12p5</x:v>
      </x:c>
      <x:c r="B11" s="46" t="str">
        <x:v>Alçı levha</x:v>
      </x:c>
      <x:c r="C11" s="46" t="str">
        <x:v>EN 520 Tip E – dış kaplama levhası</x:v>
      </x:c>
      <x:c r="D11" s="46" t="str">
        <x:v>GENERIC</x:v>
      </x:c>
      <x:c r="E11" s="46" t="str">
        <x:v>EN520-E</x:v>
      </x:c>
      <x:c r="F11" s="70" t="str">
        <x:v>ENGINEERING_DEFAULT</x:v>
      </x:c>
      <x:c r="G11" s="54" t="n">
        <x:v>12.5</x:v>
      </x:c>
      <x:c r="H11" s="54" t="n">
        <x:v>850</x:v>
      </x:c>
      <x:c r="I11" s="74" t="n">
        <x:f>IF(OR(G11="",H11=""),"",G11/1000*H11)</x:f>
        <x:v>10.625</x:v>
      </x:c>
      <x:c r="J11" s="75" t="n">
        <x:v>3</x:v>
      </x:c>
      <x:c r="K11" s="75" t="n">
        <x:v>0.24</x:v>
      </x:c>
      <x:c r="L11" s="75" t="n">
        <x:v>0.02</x:v>
      </x:c>
      <x:c r="M11" s="75" t="n">
        <x:f>IF(OR(J11="",K11=""),"",J11/(2*(1+K11)))</x:f>
        <x:v>1.2096774193548387</x:v>
      </x:c>
      <x:c r="N11" s="76" t="n">
        <x:f>IF(OR(J11="",H11="",K11=""),"",SQRT(J11*1000000000*(1-K11)/(H11*(1+K11)*(1-2*K11))))</x:f>
        <x:v>2039.6020802463274</x:v>
      </x:c>
      <x:c r="O11" s="75" t="n">
        <x:f>IF(OR(H11="",N11=""),"",H11*N11/1000000)</x:f>
        <x:v>1.7336617682093782</x:v>
      </x:c>
      <x:c r="P11" s="74" t="n">
        <x:f>IF(OR(J11="",G11="",K11=""),"",J11*1000000000*(G11/1000)^3/(12*(1-K11^2)))</x:f>
        <x:v>518.125265280136</x:v>
      </x:c>
      <x:c r="Q11" s="76" t="n">
        <x:f>IF(OR(I11="",P11=""),"",343.2^2/(2*PI())*SQRT(I11/P11))</x:f>
        <x:v>2684.4898993623606</x:v>
      </x:c>
      <x:c r="R11" s="58"/>
      <x:c r="S11" s="62" t="n">
        <x:v>0.3</x:v>
      </x:c>
      <x:c r="T11" s="46" t="str">
        <x:v>20 °C / kuru nominal</x:v>
      </x:c>
      <x:c r="U11" s="46" t="str">
        <x:v>DÜŞÜK-ORTA</x:v>
      </x:c>
      <x:c r="V11" s="46" t="str"/>
      <x:c r="W11" s="50" t="str">
        <x:v>Temkinli mühendislik başlangıç değeri; üretici dinamik modül/yoğunluk verisiyle güncellenmelidir.</x:v>
      </x:c>
    </x:row>
    <x:row r="12">
      <x:c r="A12" s="46" t="str">
        <x:v>GB-EN520-E-15</x:v>
      </x:c>
      <x:c r="B12" s="46" t="str">
        <x:v>Alçı levha</x:v>
      </x:c>
      <x:c r="C12" s="46" t="str">
        <x:v>EN 520 Tip E – dış kaplama levhası</x:v>
      </x:c>
      <x:c r="D12" s="46" t="str">
        <x:v>GENERIC</x:v>
      </x:c>
      <x:c r="E12" s="46" t="str">
        <x:v>EN520-E</x:v>
      </x:c>
      <x:c r="F12" s="70" t="str">
        <x:v>ENGINEERING_DEFAULT</x:v>
      </x:c>
      <x:c r="G12" s="54" t="n">
        <x:v>15</x:v>
      </x:c>
      <x:c r="H12" s="54" t="n">
        <x:v>850</x:v>
      </x:c>
      <x:c r="I12" s="74" t="n">
        <x:f>IF(OR(G12="",H12=""),"",G12/1000*H12)</x:f>
        <x:v>12.75</x:v>
      </x:c>
      <x:c r="J12" s="75" t="n">
        <x:v>3</x:v>
      </x:c>
      <x:c r="K12" s="75" t="n">
        <x:v>0.24</x:v>
      </x:c>
      <x:c r="L12" s="75" t="n">
        <x:v>0.02</x:v>
      </x:c>
      <x:c r="M12" s="75" t="n">
        <x:f>IF(OR(J12="",K12=""),"",J12/(2*(1+K12)))</x:f>
        <x:v>1.2096774193548387</x:v>
      </x:c>
      <x:c r="N12" s="76" t="n">
        <x:f>IF(OR(J12="",H12="",K12=""),"",SQRT(J12*1000000000*(1-K12)/(H12*(1+K12)*(1-2*K12))))</x:f>
        <x:v>2039.6020802463274</x:v>
      </x:c>
      <x:c r="O12" s="75" t="n">
        <x:f>IF(OR(H12="",N12=""),"",H12*N12/1000000)</x:f>
        <x:v>1.7336617682093782</x:v>
      </x:c>
      <x:c r="P12" s="74" t="n">
        <x:f>IF(OR(J12="",G12="",K12=""),"",J12*1000000000*(G12/1000)^3/(12*(1-K12^2)))</x:f>
        <x:v>895.3204584040748</x:v>
      </x:c>
      <x:c r="Q12" s="76" t="n">
        <x:f>IF(OR(I12="",P12=""),"",343.2^2/(2*PI())*SQRT(I12/P12))</x:f>
        <x:v>2237.0749161353006</x:v>
      </x:c>
      <x:c r="R12" s="58"/>
      <x:c r="S12" s="62" t="n">
        <x:v>0.3</x:v>
      </x:c>
      <x:c r="T12" s="46" t="str">
        <x:v>20 °C / kuru nominal</x:v>
      </x:c>
      <x:c r="U12" s="46" t="str">
        <x:v>DÜŞÜK-ORTA</x:v>
      </x:c>
      <x:c r="V12" s="46" t="str"/>
      <x:c r="W12" s="50" t="str">
        <x:v>Temkinli mühendislik başlangıç değeri; üretici dinamik modül/yoğunluk verisiyle güncellenmelidir.</x:v>
      </x:c>
    </x:row>
    <x:row r="13">
      <x:c r="A13" s="46" t="str">
        <x:v>GB-EN520-F-12p5</x:v>
      </x:c>
      <x:c r="B13" s="46" t="str">
        <x:v>Alçı levha</x:v>
      </x:c>
      <x:c r="C13" s="46" t="str">
        <x:v>EN 520 Tip F – yangında çekirdek bütünlüğü artırılmış</x:v>
      </x:c>
      <x:c r="D13" s="46" t="str">
        <x:v>GENERIC</x:v>
      </x:c>
      <x:c r="E13" s="46" t="str">
        <x:v>EN520-F</x:v>
      </x:c>
      <x:c r="F13" s="70" t="str">
        <x:v>ENGINEERING_DEFAULT</x:v>
      </x:c>
      <x:c r="G13" s="54" t="n">
        <x:v>12.5</x:v>
      </x:c>
      <x:c r="H13" s="54" t="n">
        <x:v>800</x:v>
      </x:c>
      <x:c r="I13" s="74" t="n">
        <x:f>IF(OR(G13="",H13=""),"",G13/1000*H13)</x:f>
        <x:v>10</x:v>
      </x:c>
      <x:c r="J13" s="75" t="n">
        <x:v>2.8</x:v>
      </x:c>
      <x:c r="K13" s="75" t="n">
        <x:v>0.25</x:v>
      </x:c>
      <x:c r="L13" s="75" t="n">
        <x:v>0.02</x:v>
      </x:c>
      <x:c r="M13" s="75" t="n">
        <x:f>IF(OR(J13="",K13=""),"",J13/(2*(1+K13)))</x:f>
        <x:v>1.1199999999999999</x:v>
      </x:c>
      <x:c r="N13" s="76" t="n">
        <x:f>IF(OR(J13="",H13="",K13=""),"",SQRT(J13*1000000000*(1-K13)/(H13*(1+K13)*(1-2*K13))))</x:f>
        <x:v>2049.3901531919196</x:v>
      </x:c>
      <x:c r="O13" s="75" t="n">
        <x:f>IF(OR(H13="",N13=""),"",H13*N13/1000000)</x:f>
        <x:v>1.6395121225535358</x:v>
      </x:c>
      <x:c r="P13" s="74" t="n">
        <x:f>IF(OR(J13="",G13="",K13=""),"",J13*1000000000*(G13/1000)^3/(12*(1-K13^2)))</x:f>
        <x:v>486.1111111111112</x:v>
      </x:c>
      <x:c r="Q13" s="76" t="n">
        <x:f>IF(OR(I13="",P13=""),"",343.2^2/(2*PI())*SQRT(I13/P13))</x:f>
        <x:v>2688.72828575775</x:v>
      </x:c>
      <x:c r="R13" s="58"/>
      <x:c r="S13" s="62" t="n">
        <x:v>0.25</x:v>
      </x:c>
      <x:c r="T13" s="46" t="str">
        <x:v>20 °C / kuru nominal</x:v>
      </x:c>
      <x:c r="U13" s="46" t="str">
        <x:v>DÜŞÜK-ORTA</x:v>
      </x:c>
      <x:c r="V13" s="46" t="str"/>
      <x:c r="W13" s="50" t="str">
        <x:v>Temkinli mühendislik başlangıç değeri; üretici dinamik modül/yoğunluk verisiyle güncellenmelidir.</x:v>
      </x:c>
    </x:row>
    <x:row r="14">
      <x:c r="A14" s="46" t="str">
        <x:v>GB-EN520-F-15</x:v>
      </x:c>
      <x:c r="B14" s="46" t="str">
        <x:v>Alçı levha</x:v>
      </x:c>
      <x:c r="C14" s="46" t="str">
        <x:v>EN 520 Tip F – yangında çekirdek bütünlüğü artırılmış</x:v>
      </x:c>
      <x:c r="D14" s="46" t="str">
        <x:v>GENERIC</x:v>
      </x:c>
      <x:c r="E14" s="46" t="str">
        <x:v>EN520-F</x:v>
      </x:c>
      <x:c r="F14" s="70" t="str">
        <x:v>ENGINEERING_DEFAULT</x:v>
      </x:c>
      <x:c r="G14" s="54" t="n">
        <x:v>15</x:v>
      </x:c>
      <x:c r="H14" s="54" t="n">
        <x:v>800</x:v>
      </x:c>
      <x:c r="I14" s="74" t="n">
        <x:f>IF(OR(G14="",H14=""),"",G14/1000*H14)</x:f>
        <x:v>12</x:v>
      </x:c>
      <x:c r="J14" s="75" t="n">
        <x:v>2.8</x:v>
      </x:c>
      <x:c r="K14" s="75" t="n">
        <x:v>0.25</x:v>
      </x:c>
      <x:c r="L14" s="75" t="n">
        <x:v>0.02</x:v>
      </x:c>
      <x:c r="M14" s="75" t="n">
        <x:f>IF(OR(J14="",K14=""),"",J14/(2*(1+K14)))</x:f>
        <x:v>1.1199999999999999</x:v>
      </x:c>
      <x:c r="N14" s="76" t="n">
        <x:f>IF(OR(J14="",H14="",K14=""),"",SQRT(J14*1000000000*(1-K14)/(H14*(1+K14)*(1-2*K14))))</x:f>
        <x:v>2049.3901531919196</x:v>
      </x:c>
      <x:c r="O14" s="75" t="n">
        <x:f>IF(OR(H14="",N14=""),"",H14*N14/1000000)</x:f>
        <x:v>1.6395121225535358</x:v>
      </x:c>
      <x:c r="P14" s="74" t="n">
        <x:f>IF(OR(J14="",G14="",K14=""),"",J14*1000000000*(G14/1000)^3/(12*(1-K14^2)))</x:f>
        <x:v>840</x:v>
      </x:c>
      <x:c r="Q14" s="76" t="n">
        <x:f>IF(OR(I14="",P14=""),"",343.2^2/(2*PI())*SQRT(I14/P14))</x:f>
        <x:v>2240.6069047981255</x:v>
      </x:c>
      <x:c r="R14" s="58"/>
      <x:c r="S14" s="62" t="n">
        <x:v>0.25</x:v>
      </x:c>
      <x:c r="T14" s="46" t="str">
        <x:v>20 °C / kuru nominal</x:v>
      </x:c>
      <x:c r="U14" s="46" t="str">
        <x:v>DÜŞÜK-ORTA</x:v>
      </x:c>
      <x:c r="V14" s="46" t="str"/>
      <x:c r="W14" s="50" t="str">
        <x:v>Temkinli mühendislik başlangıç değeri; üretici dinamik modül/yoğunluk verisiyle güncellenmelidir.</x:v>
      </x:c>
    </x:row>
    <x:row r="15">
      <x:c r="A15" s="46" t="str">
        <x:v>GB-EN520-F-18</x:v>
      </x:c>
      <x:c r="B15" s="46" t="str">
        <x:v>Alçı levha</x:v>
      </x:c>
      <x:c r="C15" s="46" t="str">
        <x:v>EN 520 Tip F – yangında çekirdek bütünlüğü artırılmış</x:v>
      </x:c>
      <x:c r="D15" s="46" t="str">
        <x:v>GENERIC</x:v>
      </x:c>
      <x:c r="E15" s="46" t="str">
        <x:v>EN520-F</x:v>
      </x:c>
      <x:c r="F15" s="70" t="str">
        <x:v>ENGINEERING_DEFAULT</x:v>
      </x:c>
      <x:c r="G15" s="54" t="n">
        <x:v>18</x:v>
      </x:c>
      <x:c r="H15" s="54" t="n">
        <x:v>800</x:v>
      </x:c>
      <x:c r="I15" s="74" t="n">
        <x:f>IF(OR(G15="",H15=""),"",G15/1000*H15)</x:f>
        <x:v>14.399999999999999</x:v>
      </x:c>
      <x:c r="J15" s="75" t="n">
        <x:v>2.8</x:v>
      </x:c>
      <x:c r="K15" s="75" t="n">
        <x:v>0.25</x:v>
      </x:c>
      <x:c r="L15" s="75" t="n">
        <x:v>0.02</x:v>
      </x:c>
      <x:c r="M15" s="75" t="n">
        <x:f>IF(OR(J15="",K15=""),"",J15/(2*(1+K15)))</x:f>
        <x:v>1.1199999999999999</x:v>
      </x:c>
      <x:c r="N15" s="76" t="n">
        <x:f>IF(OR(J15="",H15="",K15=""),"",SQRT(J15*1000000000*(1-K15)/(H15*(1+K15)*(1-2*K15))))</x:f>
        <x:v>2049.3901531919196</x:v>
      </x:c>
      <x:c r="O15" s="75" t="n">
        <x:f>IF(OR(H15="",N15=""),"",H15*N15/1000000)</x:f>
        <x:v>1.6395121225535358</x:v>
      </x:c>
      <x:c r="P15" s="74" t="n">
        <x:f>IF(OR(J15="",G15="",K15=""),"",J15*1000000000*(G15/1000)^3/(12*(1-K15^2)))</x:f>
        <x:v>1451.5199999999998</x:v>
      </x:c>
      <x:c r="Q15" s="76" t="n">
        <x:f>IF(OR(I15="",P15=""),"",343.2^2/(2*PI())*SQRT(I15/P15))</x:f>
        <x:v>1867.1724206651047</x:v>
      </x:c>
      <x:c r="R15" s="58"/>
      <x:c r="S15" s="62" t="n">
        <x:v>0.25</x:v>
      </x:c>
      <x:c r="T15" s="46" t="str">
        <x:v>20 °C / kuru nominal</x:v>
      </x:c>
      <x:c r="U15" s="46" t="str">
        <x:v>DÜŞÜK-ORTA</x:v>
      </x:c>
      <x:c r="V15" s="46" t="str"/>
      <x:c r="W15" s="50" t="str">
        <x:v>Temkinli mühendislik başlangıç değeri; üretici dinamik modül/yoğunluk verisiyle güncellenmelidir.</x:v>
      </x:c>
    </x:row>
    <x:row r="16">
      <x:c r="A16" s="46" t="str">
        <x:v>GB-EN520-F-20</x:v>
      </x:c>
      <x:c r="B16" s="46" t="str">
        <x:v>Alçı levha</x:v>
      </x:c>
      <x:c r="C16" s="46" t="str">
        <x:v>EN 520 Tip F – yangında çekirdek bütünlüğü artırılmış</x:v>
      </x:c>
      <x:c r="D16" s="46" t="str">
        <x:v>GENERIC</x:v>
      </x:c>
      <x:c r="E16" s="46" t="str">
        <x:v>EN520-F</x:v>
      </x:c>
      <x:c r="F16" s="70" t="str">
        <x:v>ENGINEERING_DEFAULT</x:v>
      </x:c>
      <x:c r="G16" s="54" t="n">
        <x:v>20</x:v>
      </x:c>
      <x:c r="H16" s="54" t="n">
        <x:v>800</x:v>
      </x:c>
      <x:c r="I16" s="74" t="n">
        <x:f>IF(OR(G16="",H16=""),"",G16/1000*H16)</x:f>
        <x:v>16</x:v>
      </x:c>
      <x:c r="J16" s="75" t="n">
        <x:v>2.8</x:v>
      </x:c>
      <x:c r="K16" s="75" t="n">
        <x:v>0.25</x:v>
      </x:c>
      <x:c r="L16" s="75" t="n">
        <x:v>0.02</x:v>
      </x:c>
      <x:c r="M16" s="75" t="n">
        <x:f>IF(OR(J16="",K16=""),"",J16/(2*(1+K16)))</x:f>
        <x:v>1.1199999999999999</x:v>
      </x:c>
      <x:c r="N16" s="76" t="n">
        <x:f>IF(OR(J16="",H16="",K16=""),"",SQRT(J16*1000000000*(1-K16)/(H16*(1+K16)*(1-2*K16))))</x:f>
        <x:v>2049.3901531919196</x:v>
      </x:c>
      <x:c r="O16" s="75" t="n">
        <x:f>IF(OR(H16="",N16=""),"",H16*N16/1000000)</x:f>
        <x:v>1.6395121225535358</x:v>
      </x:c>
      <x:c r="P16" s="74" t="n">
        <x:f>IF(OR(J16="",G16="",K16=""),"",J16*1000000000*(G16/1000)^3/(12*(1-K16^2)))</x:f>
        <x:v>1991.1111111111115</x:v>
      </x:c>
      <x:c r="Q16" s="76" t="n">
        <x:f>IF(OR(I16="",P16=""),"",343.2^2/(2*PI())*SQRT(I16/P16))</x:f>
        <x:v>1680.4551785985939</x:v>
      </x:c>
      <x:c r="R16" s="58"/>
      <x:c r="S16" s="62" t="n">
        <x:v>0.25</x:v>
      </x:c>
      <x:c r="T16" s="46" t="str">
        <x:v>20 °C / kuru nominal</x:v>
      </x:c>
      <x:c r="U16" s="46" t="str">
        <x:v>DÜŞÜK-ORTA</x:v>
      </x:c>
      <x:c r="V16" s="46" t="str"/>
      <x:c r="W16" s="50" t="str">
        <x:v>Temkinli mühendislik başlangıç değeri; üretici dinamik modül/yoğunluk verisiyle güncellenmelidir.</x:v>
      </x:c>
    </x:row>
    <x:row r="17">
      <x:c r="A17" s="46" t="str">
        <x:v>GB-EN520-F-25</x:v>
      </x:c>
      <x:c r="B17" s="46" t="str">
        <x:v>Alçı levha</x:v>
      </x:c>
      <x:c r="C17" s="46" t="str">
        <x:v>EN 520 Tip F – yangında çekirdek bütünlüğü artırılmış</x:v>
      </x:c>
      <x:c r="D17" s="46" t="str">
        <x:v>GENERIC</x:v>
      </x:c>
      <x:c r="E17" s="46" t="str">
        <x:v>EN520-F</x:v>
      </x:c>
      <x:c r="F17" s="70" t="str">
        <x:v>ENGINEERING_DEFAULT</x:v>
      </x:c>
      <x:c r="G17" s="54" t="n">
        <x:v>25</x:v>
      </x:c>
      <x:c r="H17" s="54" t="n">
        <x:v>800</x:v>
      </x:c>
      <x:c r="I17" s="74" t="n">
        <x:f>IF(OR(G17="",H17=""),"",G17/1000*H17)</x:f>
        <x:v>20</x:v>
      </x:c>
      <x:c r="J17" s="75" t="n">
        <x:v>2.8</x:v>
      </x:c>
      <x:c r="K17" s="75" t="n">
        <x:v>0.25</x:v>
      </x:c>
      <x:c r="L17" s="75" t="n">
        <x:v>0.02</x:v>
      </x:c>
      <x:c r="M17" s="75" t="n">
        <x:f>IF(OR(J17="",K17=""),"",J17/(2*(1+K17)))</x:f>
        <x:v>1.1199999999999999</x:v>
      </x:c>
      <x:c r="N17" s="76" t="n">
        <x:f>IF(OR(J17="",H17="",K17=""),"",SQRT(J17*1000000000*(1-K17)/(H17*(1+K17)*(1-2*K17))))</x:f>
        <x:v>2049.3901531919196</x:v>
      </x:c>
      <x:c r="O17" s="75" t="n">
        <x:f>IF(OR(H17="",N17=""),"",H17*N17/1000000)</x:f>
        <x:v>1.6395121225535358</x:v>
      </x:c>
      <x:c r="P17" s="74" t="n">
        <x:f>IF(OR(J17="",G17="",K17=""),"",J17*1000000000*(G17/1000)^3/(12*(1-K17^2)))</x:f>
        <x:v>3888.8888888888896</x:v>
      </x:c>
      <x:c r="Q17" s="76" t="n">
        <x:f>IF(OR(I17="",P17=""),"",343.2^2/(2*PI())*SQRT(I17/P17))</x:f>
        <x:v>1344.364142878875</x:v>
      </x:c>
      <x:c r="R17" s="58"/>
      <x:c r="S17" s="62" t="n">
        <x:v>0.25</x:v>
      </x:c>
      <x:c r="T17" s="46" t="str">
        <x:v>20 °C / kuru nominal</x:v>
      </x:c>
      <x:c r="U17" s="46" t="str">
        <x:v>DÜŞÜK-ORTA</x:v>
      </x:c>
      <x:c r="V17" s="46" t="str"/>
      <x:c r="W17" s="50" t="str">
        <x:v>Temkinli mühendislik başlangıç değeri; üretici dinamik modül/yoğunluk verisiyle güncellenmelidir.</x:v>
      </x:c>
    </x:row>
    <x:row r="18">
      <x:c r="A18" s="46" t="str">
        <x:v>GB-EN520-H1-12p5</x:v>
      </x:c>
      <x:c r="B18" s="46" t="str">
        <x:v>Alçı levha</x:v>
      </x:c>
      <x:c r="C18" s="46" t="str">
        <x:v>EN 520 Tip H1 – düşük su emme</x:v>
      </x:c>
      <x:c r="D18" s="46" t="str">
        <x:v>GENERIC</x:v>
      </x:c>
      <x:c r="E18" s="46" t="str">
        <x:v>EN520-H1</x:v>
      </x:c>
      <x:c r="F18" s="70" t="str">
        <x:v>ENGINEERING_DEFAULT</x:v>
      </x:c>
      <x:c r="G18" s="54" t="n">
        <x:v>12.5</x:v>
      </x:c>
      <x:c r="H18" s="54" t="n">
        <x:v>800</x:v>
      </x:c>
      <x:c r="I18" s="74" t="n">
        <x:f>IF(OR(G18="",H18=""),"",G18/1000*H18)</x:f>
        <x:v>10</x:v>
      </x:c>
      <x:c r="J18" s="75" t="n">
        <x:v>2.7</x:v>
      </x:c>
      <x:c r="K18" s="75" t="n">
        <x:v>0.25</x:v>
      </x:c>
      <x:c r="L18" s="75" t="n">
        <x:v>0.02</x:v>
      </x:c>
      <x:c r="M18" s="75" t="n">
        <x:f>IF(OR(J18="",K18=""),"",J18/(2*(1+K18)))</x:f>
        <x:v>1.08</x:v>
      </x:c>
      <x:c r="N18" s="76" t="n">
        <x:f>IF(OR(J18="",H18="",K18=""),"",SQRT(J18*1000000000*(1-K18)/(H18*(1+K18)*(1-2*K18))))</x:f>
        <x:v>2012.4611797498108</x:v>
      </x:c>
      <x:c r="O18" s="75" t="n">
        <x:f>IF(OR(H18="",N18=""),"",H18*N18/1000000)</x:f>
        <x:v>1.6099689437998486</x:v>
      </x:c>
      <x:c r="P18" s="74" t="n">
        <x:f>IF(OR(J18="",G18="",K18=""),"",J18*1000000000*(G18/1000)^3/(12*(1-K18^2)))</x:f>
        <x:v>468.75000000000006</x:v>
      </x:c>
      <x:c r="Q18" s="76" t="n">
        <x:f>IF(OR(I18="",P18=""),"",343.2^2/(2*PI())*SQRT(I18/P18))</x:f>
        <x:v>2738.066865034166</x:v>
      </x:c>
      <x:c r="R18" s="58"/>
      <x:c r="S18" s="62" t="n">
        <x:v>0.25</x:v>
      </x:c>
      <x:c r="T18" s="46" t="str">
        <x:v>20 °C / kuru nominal</x:v>
      </x:c>
      <x:c r="U18" s="46" t="str">
        <x:v>DÜŞÜK-ORTA</x:v>
      </x:c>
      <x:c r="V18" s="46" t="str"/>
      <x:c r="W18" s="50" t="str">
        <x:v>Temkinli mühendislik başlangıç değeri; üretici dinamik modül/yoğunluk verisiyle güncellenmelidir.</x:v>
      </x:c>
    </x:row>
    <x:row r="19">
      <x:c r="A19" s="46" t="str">
        <x:v>GB-EN520-H1-15</x:v>
      </x:c>
      <x:c r="B19" s="46" t="str">
        <x:v>Alçı levha</x:v>
      </x:c>
      <x:c r="C19" s="46" t="str">
        <x:v>EN 520 Tip H1 – düşük su emme</x:v>
      </x:c>
      <x:c r="D19" s="46" t="str">
        <x:v>GENERIC</x:v>
      </x:c>
      <x:c r="E19" s="46" t="str">
        <x:v>EN520-H1</x:v>
      </x:c>
      <x:c r="F19" s="70" t="str">
        <x:v>ENGINEERING_DEFAULT</x:v>
      </x:c>
      <x:c r="G19" s="54" t="n">
        <x:v>15</x:v>
      </x:c>
      <x:c r="H19" s="54" t="n">
        <x:v>800</x:v>
      </x:c>
      <x:c r="I19" s="74" t="n">
        <x:f>IF(OR(G19="",H19=""),"",G19/1000*H19)</x:f>
        <x:v>12</x:v>
      </x:c>
      <x:c r="J19" s="75" t="n">
        <x:v>2.7</x:v>
      </x:c>
      <x:c r="K19" s="75" t="n">
        <x:v>0.25</x:v>
      </x:c>
      <x:c r="L19" s="75" t="n">
        <x:v>0.02</x:v>
      </x:c>
      <x:c r="M19" s="75" t="n">
        <x:f>IF(OR(J19="",K19=""),"",J19/(2*(1+K19)))</x:f>
        <x:v>1.08</x:v>
      </x:c>
      <x:c r="N19" s="76" t="n">
        <x:f>IF(OR(J19="",H19="",K19=""),"",SQRT(J19*1000000000*(1-K19)/(H19*(1+K19)*(1-2*K19))))</x:f>
        <x:v>2012.4611797498108</x:v>
      </x:c>
      <x:c r="O19" s="75" t="n">
        <x:f>IF(OR(H19="",N19=""),"",H19*N19/1000000)</x:f>
        <x:v>1.6099689437998486</x:v>
      </x:c>
      <x:c r="P19" s="74" t="n">
        <x:f>IF(OR(J19="",G19="",K19=""),"",J19*1000000000*(G19/1000)^3/(12*(1-K19^2)))</x:f>
        <x:v>810</x:v>
      </x:c>
      <x:c r="Q19" s="76" t="n">
        <x:f>IF(OR(I19="",P19=""),"",343.2^2/(2*PI())*SQRT(I19/P19))</x:f>
        <x:v>2281.7223875284717</x:v>
      </x:c>
      <x:c r="R19" s="58"/>
      <x:c r="S19" s="62" t="n">
        <x:v>0.25</x:v>
      </x:c>
      <x:c r="T19" s="46" t="str">
        <x:v>20 °C / kuru nominal</x:v>
      </x:c>
      <x:c r="U19" s="46" t="str">
        <x:v>DÜŞÜK-ORTA</x:v>
      </x:c>
      <x:c r="V19" s="46" t="str"/>
      <x:c r="W19" s="50" t="str">
        <x:v>Temkinli mühendislik başlangıç değeri; üretici dinamik modül/yoğunluk verisiyle güncellenmelidir.</x:v>
      </x:c>
    </x:row>
    <x:row r="20">
      <x:c r="A20" s="46" t="str">
        <x:v>GB-EN520-H2-9p5</x:v>
      </x:c>
      <x:c r="B20" s="46" t="str">
        <x:v>Alçı levha</x:v>
      </x:c>
      <x:c r="C20" s="46" t="str">
        <x:v>EN 520 Tip H2 – neme dayanıklı</x:v>
      </x:c>
      <x:c r="D20" s="46" t="str">
        <x:v>GENERIC</x:v>
      </x:c>
      <x:c r="E20" s="46" t="str">
        <x:v>EN520-H2</x:v>
      </x:c>
      <x:c r="F20" s="70" t="str">
        <x:v>ENGINEERING_DEFAULT</x:v>
      </x:c>
      <x:c r="G20" s="54" t="n">
        <x:v>9.5</x:v>
      </x:c>
      <x:c r="H20" s="54" t="n">
        <x:v>780</x:v>
      </x:c>
      <x:c r="I20" s="74" t="n">
        <x:f>IF(OR(G20="",H20=""),"",G20/1000*H20)</x:f>
        <x:v>7.41</x:v>
      </x:c>
      <x:c r="J20" s="75" t="n">
        <x:v>2.6</x:v>
      </x:c>
      <x:c r="K20" s="75" t="n">
        <x:v>0.25</x:v>
      </x:c>
      <x:c r="L20" s="75" t="n">
        <x:v>0.02</x:v>
      </x:c>
      <x:c r="M20" s="75" t="n">
        <x:f>IF(OR(J20="",K20=""),"",J20/(2*(1+K20)))</x:f>
        <x:v>1.04</x:v>
      </x:c>
      <x:c r="N20" s="76" t="n">
        <x:f>IF(OR(J20="",H20="",K20=""),"",SQRT(J20*1000000000*(1-K20)/(H20*(1+K20)*(1-2*K20))))</x:f>
        <x:v>2000</x:v>
      </x:c>
      <x:c r="O20" s="75" t="n">
        <x:f>IF(OR(H20="",N20=""),"",H20*N20/1000000)</x:f>
        <x:v>1.56</x:v>
      </x:c>
      <x:c r="P20" s="74" t="n">
        <x:f>IF(OR(J20="",G20="",K20=""),"",J20*1000000000*(G20/1000)^3/(12*(1-K20^2)))</x:f>
        <x:v>198.1488888888889</x:v>
      </x:c>
      <x:c r="Q20" s="76" t="n">
        <x:f>IF(OR(I20="",P20=""),"",343.2^2/(2*PI())*SQRT(I20/P20))</x:f>
        <x:v>3625.166627263502</x:v>
      </x:c>
      <x:c r="R20" s="58"/>
      <x:c r="S20" s="62" t="n">
        <x:v>0.25</x:v>
      </x:c>
      <x:c r="T20" s="46" t="str">
        <x:v>20 °C / kuru nominal</x:v>
      </x:c>
      <x:c r="U20" s="46" t="str">
        <x:v>DÜŞÜK-ORTA</x:v>
      </x:c>
      <x:c r="V20" s="46" t="str"/>
      <x:c r="W20" s="50" t="str">
        <x:v>Temkinli mühendislik başlangıç değeri; üretici dinamik modül/yoğunluk verisiyle güncellenmelidir.</x:v>
      </x:c>
    </x:row>
    <x:row r="21">
      <x:c r="A21" s="46" t="str">
        <x:v>GB-EN520-H2-12p5</x:v>
      </x:c>
      <x:c r="B21" s="46" t="str">
        <x:v>Alçı levha</x:v>
      </x:c>
      <x:c r="C21" s="46" t="str">
        <x:v>EN 520 Tip H2 – neme dayanıklı</x:v>
      </x:c>
      <x:c r="D21" s="46" t="str">
        <x:v>GENERIC</x:v>
      </x:c>
      <x:c r="E21" s="46" t="str">
        <x:v>EN520-H2</x:v>
      </x:c>
      <x:c r="F21" s="70" t="str">
        <x:v>ENGINEERING_DEFAULT</x:v>
      </x:c>
      <x:c r="G21" s="54" t="n">
        <x:v>12.5</x:v>
      </x:c>
      <x:c r="H21" s="54" t="n">
        <x:v>780</x:v>
      </x:c>
      <x:c r="I21" s="74" t="n">
        <x:f>IF(OR(G21="",H21=""),"",G21/1000*H21)</x:f>
        <x:v>9.75</x:v>
      </x:c>
      <x:c r="J21" s="75" t="n">
        <x:v>2.6</x:v>
      </x:c>
      <x:c r="K21" s="75" t="n">
        <x:v>0.25</x:v>
      </x:c>
      <x:c r="L21" s="75" t="n">
        <x:v>0.02</x:v>
      </x:c>
      <x:c r="M21" s="75" t="n">
        <x:f>IF(OR(J21="",K21=""),"",J21/(2*(1+K21)))</x:f>
        <x:v>1.04</x:v>
      </x:c>
      <x:c r="N21" s="76" t="n">
        <x:f>IF(OR(J21="",H21="",K21=""),"",SQRT(J21*1000000000*(1-K21)/(H21*(1+K21)*(1-2*K21))))</x:f>
        <x:v>2000</x:v>
      </x:c>
      <x:c r="O21" s="75" t="n">
        <x:f>IF(OR(H21="",N21=""),"",H21*N21/1000000)</x:f>
        <x:v>1.56</x:v>
      </x:c>
      <x:c r="P21" s="74" t="n">
        <x:f>IF(OR(J21="",G21="",K21=""),"",J21*1000000000*(G21/1000)^3/(12*(1-K21^2)))</x:f>
        <x:v>451.38888888888897</x:v>
      </x:c>
      <x:c r="Q21" s="76" t="n">
        <x:f>IF(OR(I21="",P21=""),"",343.2^2/(2*PI())*SQRT(I21/P21))</x:f>
        <x:v>2755.126636720262</x:v>
      </x:c>
      <x:c r="R21" s="58"/>
      <x:c r="S21" s="62" t="n">
        <x:v>0.25</x:v>
      </x:c>
      <x:c r="T21" s="46" t="str">
        <x:v>20 °C / kuru nominal</x:v>
      </x:c>
      <x:c r="U21" s="46" t="str">
        <x:v>DÜŞÜK-ORTA</x:v>
      </x:c>
      <x:c r="V21" s="46" t="str"/>
      <x:c r="W21" s="50" t="str">
        <x:v>Temkinli mühendislik başlangıç değeri; üretici dinamik modül/yoğunluk verisiyle güncellenmelidir.</x:v>
      </x:c>
    </x:row>
    <x:row r="22">
      <x:c r="A22" s="46" t="str">
        <x:v>GB-EN520-H2-15</x:v>
      </x:c>
      <x:c r="B22" s="46" t="str">
        <x:v>Alçı levha</x:v>
      </x:c>
      <x:c r="C22" s="46" t="str">
        <x:v>EN 520 Tip H2 – neme dayanıklı</x:v>
      </x:c>
      <x:c r="D22" s="46" t="str">
        <x:v>GENERIC</x:v>
      </x:c>
      <x:c r="E22" s="46" t="str">
        <x:v>EN520-H2</x:v>
      </x:c>
      <x:c r="F22" s="70" t="str">
        <x:v>ENGINEERING_DEFAULT</x:v>
      </x:c>
      <x:c r="G22" s="54" t="n">
        <x:v>15</x:v>
      </x:c>
      <x:c r="H22" s="54" t="n">
        <x:v>780</x:v>
      </x:c>
      <x:c r="I22" s="74" t="n">
        <x:f>IF(OR(G22="",H22=""),"",G22/1000*H22)</x:f>
        <x:v>11.7</x:v>
      </x:c>
      <x:c r="J22" s="75" t="n">
        <x:v>2.6</x:v>
      </x:c>
      <x:c r="K22" s="75" t="n">
        <x:v>0.25</x:v>
      </x:c>
      <x:c r="L22" s="75" t="n">
        <x:v>0.02</x:v>
      </x:c>
      <x:c r="M22" s="75" t="n">
        <x:f>IF(OR(J22="",K22=""),"",J22/(2*(1+K22)))</x:f>
        <x:v>1.04</x:v>
      </x:c>
      <x:c r="N22" s="76" t="n">
        <x:f>IF(OR(J22="",H22="",K22=""),"",SQRT(J22*1000000000*(1-K22)/(H22*(1+K22)*(1-2*K22))))</x:f>
        <x:v>2000</x:v>
      </x:c>
      <x:c r="O22" s="75" t="n">
        <x:f>IF(OR(H22="",N22=""),"",H22*N22/1000000)</x:f>
        <x:v>1.56</x:v>
      </x:c>
      <x:c r="P22" s="74" t="n">
        <x:f>IF(OR(J22="",G22="",K22=""),"",J22*1000000000*(G22/1000)^3/(12*(1-K22^2)))</x:f>
        <x:v>780</x:v>
      </x:c>
      <x:c r="Q22" s="76" t="n">
        <x:f>IF(OR(I22="",P22=""),"",343.2^2/(2*PI())*SQRT(I22/P22))</x:f>
        <x:v>2295.9388639335516</x:v>
      </x:c>
      <x:c r="R22" s="58"/>
      <x:c r="S22" s="62" t="n">
        <x:v>0.25</x:v>
      </x:c>
      <x:c r="T22" s="46" t="str">
        <x:v>20 °C / kuru nominal</x:v>
      </x:c>
      <x:c r="U22" s="46" t="str">
        <x:v>DÜŞÜK-ORTA</x:v>
      </x:c>
      <x:c r="V22" s="46" t="str"/>
      <x:c r="W22" s="50" t="str">
        <x:v>Temkinli mühendislik başlangıç değeri; üretici dinamik modül/yoğunluk verisiyle güncellenmelidir.</x:v>
      </x:c>
    </x:row>
    <x:row r="23">
      <x:c r="A23" s="46" t="str">
        <x:v>GB-EN520-H3-12p5</x:v>
      </x:c>
      <x:c r="B23" s="46" t="str">
        <x:v>Alçı levha</x:v>
      </x:c>
      <x:c r="C23" s="46" t="str">
        <x:v>EN 520 Tip H3 – azaltılmış su emme</x:v>
      </x:c>
      <x:c r="D23" s="46" t="str">
        <x:v>GENERIC</x:v>
      </x:c>
      <x:c r="E23" s="46" t="str">
        <x:v>EN520-H3</x:v>
      </x:c>
      <x:c r="F23" s="70" t="str">
        <x:v>ENGINEERING_DEFAULT</x:v>
      </x:c>
      <x:c r="G23" s="54" t="n">
        <x:v>12.5</x:v>
      </x:c>
      <x:c r="H23" s="54" t="n">
        <x:v>760</x:v>
      </x:c>
      <x:c r="I23" s="74" t="n">
        <x:f>IF(OR(G23="",H23=""),"",G23/1000*H23)</x:f>
        <x:v>9.5</x:v>
      </x:c>
      <x:c r="J23" s="75" t="n">
        <x:v>2.6</x:v>
      </x:c>
      <x:c r="K23" s="75" t="n">
        <x:v>0.25</x:v>
      </x:c>
      <x:c r="L23" s="75" t="n">
        <x:v>0.02</x:v>
      </x:c>
      <x:c r="M23" s="75" t="n">
        <x:f>IF(OR(J23="",K23=""),"",J23/(2*(1+K23)))</x:f>
        <x:v>1.04</x:v>
      </x:c>
      <x:c r="N23" s="76" t="n">
        <x:f>IF(OR(J23="",H23="",K23=""),"",SQRT(J23*1000000000*(1-K23)/(H23*(1+K23)*(1-2*K23))))</x:f>
        <x:v>2026.1449005179113</x:v>
      </x:c>
      <x:c r="O23" s="75" t="n">
        <x:f>IF(OR(H23="",N23=""),"",H23*N23/1000000)</x:f>
        <x:v>1.5398701243936126</x:v>
      </x:c>
      <x:c r="P23" s="74" t="n">
        <x:f>IF(OR(J23="",G23="",K23=""),"",J23*1000000000*(G23/1000)^3/(12*(1-K23^2)))</x:f>
        <x:v>451.38888888888897</x:v>
      </x:c>
      <x:c r="Q23" s="76" t="n">
        <x:f>IF(OR(I23="",P23=""),"",343.2^2/(2*PI())*SQRT(I23/P23))</x:f>
        <x:v>2719.575126158067</x:v>
      </x:c>
      <x:c r="R23" s="58"/>
      <x:c r="S23" s="62" t="n">
        <x:v>0.25</x:v>
      </x:c>
      <x:c r="T23" s="46" t="str">
        <x:v>20 °C / kuru nominal</x:v>
      </x:c>
      <x:c r="U23" s="46" t="str">
        <x:v>DÜŞÜK-ORTA</x:v>
      </x:c>
      <x:c r="V23" s="46" t="str"/>
      <x:c r="W23" s="50" t="str">
        <x:v>Temkinli mühendislik başlangıç değeri; üretici dinamik modül/yoğunluk verisiyle güncellenmelidir.</x:v>
      </x:c>
    </x:row>
    <x:row r="24">
      <x:c r="A24" s="46" t="str">
        <x:v>GB-EN520-H3-15</x:v>
      </x:c>
      <x:c r="B24" s="46" t="str">
        <x:v>Alçı levha</x:v>
      </x:c>
      <x:c r="C24" s="46" t="str">
        <x:v>EN 520 Tip H3 – azaltılmış su emme</x:v>
      </x:c>
      <x:c r="D24" s="46" t="str">
        <x:v>GENERIC</x:v>
      </x:c>
      <x:c r="E24" s="46" t="str">
        <x:v>EN520-H3</x:v>
      </x:c>
      <x:c r="F24" s="70" t="str">
        <x:v>ENGINEERING_DEFAULT</x:v>
      </x:c>
      <x:c r="G24" s="54" t="n">
        <x:v>15</x:v>
      </x:c>
      <x:c r="H24" s="54" t="n">
        <x:v>760</x:v>
      </x:c>
      <x:c r="I24" s="74" t="n">
        <x:f>IF(OR(G24="",H24=""),"",G24/1000*H24)</x:f>
        <x:v>11.4</x:v>
      </x:c>
      <x:c r="J24" s="75" t="n">
        <x:v>2.6</x:v>
      </x:c>
      <x:c r="K24" s="75" t="n">
        <x:v>0.25</x:v>
      </x:c>
      <x:c r="L24" s="75" t="n">
        <x:v>0.02</x:v>
      </x:c>
      <x:c r="M24" s="75" t="n">
        <x:f>IF(OR(J24="",K24=""),"",J24/(2*(1+K24)))</x:f>
        <x:v>1.04</x:v>
      </x:c>
      <x:c r="N24" s="76" t="n">
        <x:f>IF(OR(J24="",H24="",K24=""),"",SQRT(J24*1000000000*(1-K24)/(H24*(1+K24)*(1-2*K24))))</x:f>
        <x:v>2026.1449005179113</x:v>
      </x:c>
      <x:c r="O24" s="75" t="n">
        <x:f>IF(OR(H24="",N24=""),"",H24*N24/1000000)</x:f>
        <x:v>1.5398701243936126</x:v>
      </x:c>
      <x:c r="P24" s="74" t="n">
        <x:f>IF(OR(J24="",G24="",K24=""),"",J24*1000000000*(G24/1000)^3/(12*(1-K24^2)))</x:f>
        <x:v>780</x:v>
      </x:c>
      <x:c r="Q24" s="76" t="n">
        <x:f>IF(OR(I24="",P24=""),"",343.2^2/(2*PI())*SQRT(I24/P24))</x:f>
        <x:v>2266.312605131723</x:v>
      </x:c>
      <x:c r="R24" s="58"/>
      <x:c r="S24" s="62" t="n">
        <x:v>0.25</x:v>
      </x:c>
      <x:c r="T24" s="46" t="str">
        <x:v>20 °C / kuru nominal</x:v>
      </x:c>
      <x:c r="U24" s="46" t="str">
        <x:v>DÜŞÜK-ORTA</x:v>
      </x:c>
      <x:c r="V24" s="46" t="str"/>
      <x:c r="W24" s="50" t="str">
        <x:v>Temkinli mühendislik başlangıç değeri; üretici dinamik modül/yoğunluk verisiyle güncellenmelidir.</x:v>
      </x:c>
    </x:row>
    <x:row r="25">
      <x:c r="A25" s="46" t="str">
        <x:v>GB-EN520-I-12p5</x:v>
      </x:c>
      <x:c r="B25" s="46" t="str">
        <x:v>Alçı levha</x:v>
      </x:c>
      <x:c r="C25" s="46" t="str">
        <x:v>EN 520 Tip I – artırılmış yüzey sertliği</x:v>
      </x:c>
      <x:c r="D25" s="46" t="str">
        <x:v>GENERIC</x:v>
      </x:c>
      <x:c r="E25" s="46" t="str">
        <x:v>EN520-I</x:v>
      </x:c>
      <x:c r="F25" s="70" t="str">
        <x:v>ENGINEERING_DEFAULT</x:v>
      </x:c>
      <x:c r="G25" s="54" t="n">
        <x:v>12.5</x:v>
      </x:c>
      <x:c r="H25" s="54" t="n">
        <x:v>1100</x:v>
      </x:c>
      <x:c r="I25" s="74" t="n">
        <x:f>IF(OR(G25="",H25=""),"",G25/1000*H25)</x:f>
        <x:v>13.75</x:v>
      </x:c>
      <x:c r="J25" s="75" t="n">
        <x:v>4</x:v>
      </x:c>
      <x:c r="K25" s="75" t="n">
        <x:v>0.25</x:v>
      </x:c>
      <x:c r="L25" s="75" t="n">
        <x:v>0.018</x:v>
      </x:c>
      <x:c r="M25" s="75" t="n">
        <x:f>IF(OR(J25="",K25=""),"",J25/(2*(1+K25)))</x:f>
        <x:v>1.6</x:v>
      </x:c>
      <x:c r="N25" s="76" t="n">
        <x:f>IF(OR(J25="",H25="",K25=""),"",SQRT(J25*1000000000*(1-K25)/(H25*(1+K25)*(1-2*K25))))</x:f>
        <x:v>2088.931871468374</x:v>
      </x:c>
      <x:c r="O25" s="75" t="n">
        <x:f>IF(OR(H25="",N25=""),"",H25*N25/1000000)</x:f>
        <x:v>2.2978250586152114</x:v>
      </x:c>
      <x:c r="P25" s="74" t="n">
        <x:f>IF(OR(J25="",G25="",K25=""),"",J25*1000000000*(G25/1000)^3/(12*(1-K25^2)))</x:f>
        <x:v>694.4444444444446</x:v>
      </x:c>
      <x:c r="Q25" s="76" t="n">
        <x:f>IF(OR(I25="",P25=""),"",343.2^2/(2*PI())*SQRT(I25/P25))</x:f>
        <x:v>2637.832927297527</x:v>
      </x:c>
      <x:c r="R25" s="58"/>
      <x:c r="S25" s="62" t="n">
        <x:v>0.3</x:v>
      </x:c>
      <x:c r="T25" s="46" t="str">
        <x:v>20 °C / kuru nominal</x:v>
      </x:c>
      <x:c r="U25" s="46" t="str">
        <x:v>DÜŞÜK-ORTA</x:v>
      </x:c>
      <x:c r="V25" s="46" t="str"/>
      <x:c r="W25" s="50" t="str">
        <x:v>Temkinli mühendislik başlangıç değeri; üretici dinamik modül/yoğunluk verisiyle güncellenmelidir.</x:v>
      </x:c>
    </x:row>
    <x:row r="26">
      <x:c r="A26" s="46" t="str">
        <x:v>GB-EN520-I-15</x:v>
      </x:c>
      <x:c r="B26" s="46" t="str">
        <x:v>Alçı levha</x:v>
      </x:c>
      <x:c r="C26" s="46" t="str">
        <x:v>EN 520 Tip I – artırılmış yüzey sertliği</x:v>
      </x:c>
      <x:c r="D26" s="46" t="str">
        <x:v>GENERIC</x:v>
      </x:c>
      <x:c r="E26" s="46" t="str">
        <x:v>EN520-I</x:v>
      </x:c>
      <x:c r="F26" s="70" t="str">
        <x:v>ENGINEERING_DEFAULT</x:v>
      </x:c>
      <x:c r="G26" s="54" t="n">
        <x:v>15</x:v>
      </x:c>
      <x:c r="H26" s="54" t="n">
        <x:v>1100</x:v>
      </x:c>
      <x:c r="I26" s="74" t="n">
        <x:f>IF(OR(G26="",H26=""),"",G26/1000*H26)</x:f>
        <x:v>16.5</x:v>
      </x:c>
      <x:c r="J26" s="75" t="n">
        <x:v>4</x:v>
      </x:c>
      <x:c r="K26" s="75" t="n">
        <x:v>0.25</x:v>
      </x:c>
      <x:c r="L26" s="75" t="n">
        <x:v>0.018</x:v>
      </x:c>
      <x:c r="M26" s="75" t="n">
        <x:f>IF(OR(J26="",K26=""),"",J26/(2*(1+K26)))</x:f>
        <x:v>1.6</x:v>
      </x:c>
      <x:c r="N26" s="76" t="n">
        <x:f>IF(OR(J26="",H26="",K26=""),"",SQRT(J26*1000000000*(1-K26)/(H26*(1+K26)*(1-2*K26))))</x:f>
        <x:v>2088.931871468374</x:v>
      </x:c>
      <x:c r="O26" s="75" t="n">
        <x:f>IF(OR(H26="",N26=""),"",H26*N26/1000000)</x:f>
        <x:v>2.2978250586152114</x:v>
      </x:c>
      <x:c r="P26" s="74" t="n">
        <x:f>IF(OR(J26="",G26="",K26=""),"",J26*1000000000*(G26/1000)^3/(12*(1-K26^2)))</x:f>
        <x:v>1200</x:v>
      </x:c>
      <x:c r="Q26" s="76" t="n">
        <x:f>IF(OR(I26="",P26=""),"",343.2^2/(2*PI())*SQRT(I26/P26))</x:f>
        <x:v>2198.1941060812733</x:v>
      </x:c>
      <x:c r="R26" s="58"/>
      <x:c r="S26" s="62" t="n">
        <x:v>0.3</x:v>
      </x:c>
      <x:c r="T26" s="46" t="str">
        <x:v>20 °C / kuru nominal</x:v>
      </x:c>
      <x:c r="U26" s="46" t="str">
        <x:v>DÜŞÜK-ORTA</x:v>
      </x:c>
      <x:c r="V26" s="46" t="str"/>
      <x:c r="W26" s="50" t="str">
        <x:v>Temkinli mühendislik başlangıç değeri; üretici dinamik modül/yoğunluk verisiyle güncellenmelidir.</x:v>
      </x:c>
    </x:row>
    <x:row r="27">
      <x:c r="A27" s="46" t="str">
        <x:v>GB-EN520-P-9p5</x:v>
      </x:c>
      <x:c r="B27" s="46" t="str">
        <x:v>Alçı levha</x:v>
      </x:c>
      <x:c r="C27" s="46" t="str">
        <x:v>EN 520 Tip P – sıva tabanı</x:v>
      </x:c>
      <x:c r="D27" s="46" t="str">
        <x:v>GENERIC</x:v>
      </x:c>
      <x:c r="E27" s="46" t="str">
        <x:v>EN520-P</x:v>
      </x:c>
      <x:c r="F27" s="70" t="str">
        <x:v>ENGINEERING_DEFAULT</x:v>
      </x:c>
      <x:c r="G27" s="54" t="n">
        <x:v>9.5</x:v>
      </x:c>
      <x:c r="H27" s="54" t="n">
        <x:v>750</x:v>
      </x:c>
      <x:c r="I27" s="74" t="n">
        <x:f>IF(OR(G27="",H27=""),"",G27/1000*H27)</x:f>
        <x:v>7.125</x:v>
      </x:c>
      <x:c r="J27" s="75" t="n">
        <x:v>2.4</x:v>
      </x:c>
      <x:c r="K27" s="75" t="n">
        <x:v>0.25</x:v>
      </x:c>
      <x:c r="L27" s="75" t="n">
        <x:v>0.02</x:v>
      </x:c>
      <x:c r="M27" s="75" t="n">
        <x:f>IF(OR(J27="",K27=""),"",J27/(2*(1+K27)))</x:f>
        <x:v>0.96</x:v>
      </x:c>
      <x:c r="N27" s="76" t="n">
        <x:f>IF(OR(J27="",H27="",K27=""),"",SQRT(J27*1000000000*(1-K27)/(H27*(1+K27)*(1-2*K27))))</x:f>
        <x:v>1959.5917942265426</x:v>
      </x:c>
      <x:c r="O27" s="75" t="n">
        <x:f>IF(OR(H27="",N27=""),"",H27*N27/1000000)</x:f>
        <x:v>1.469693845669907</x:v>
      </x:c>
      <x:c r="P27" s="74" t="n">
        <x:f>IF(OR(J27="",G27="",K27=""),"",J27*1000000000*(G27/1000)^3/(12*(1-K27^2)))</x:f>
        <x:v>182.90666666666664</x:v>
      </x:c>
      <x:c r="Q27" s="76" t="n">
        <x:f>IF(OR(I27="",P27=""),"",343.2^2/(2*PI())*SQRT(I27/P27))</x:f>
        <x:v>3699.9201955674325</x:v>
      </x:c>
      <x:c r="R27" s="58"/>
      <x:c r="S27" s="62" t="n">
        <x:v>0.25</x:v>
      </x:c>
      <x:c r="T27" s="46" t="str">
        <x:v>20 °C / kuru nominal</x:v>
      </x:c>
      <x:c r="U27" s="46" t="str">
        <x:v>DÜŞÜK-ORTA</x:v>
      </x:c>
      <x:c r="V27" s="46" t="str"/>
      <x:c r="W27" s="50" t="str">
        <x:v>Temkinli mühendislik başlangıç değeri; üretici dinamik modül/yoğunluk verisiyle güncellenmelidir.</x:v>
      </x:c>
    </x:row>
    <x:row r="28">
      <x:c r="A28" s="46" t="str">
        <x:v>GB-EN520-P-12p5</x:v>
      </x:c>
      <x:c r="B28" s="46" t="str">
        <x:v>Alçı levha</x:v>
      </x:c>
      <x:c r="C28" s="46" t="str">
        <x:v>EN 520 Tip P – sıva tabanı</x:v>
      </x:c>
      <x:c r="D28" s="46" t="str">
        <x:v>GENERIC</x:v>
      </x:c>
      <x:c r="E28" s="46" t="str">
        <x:v>EN520-P</x:v>
      </x:c>
      <x:c r="F28" s="70" t="str">
        <x:v>ENGINEERING_DEFAULT</x:v>
      </x:c>
      <x:c r="G28" s="54" t="n">
        <x:v>12.5</x:v>
      </x:c>
      <x:c r="H28" s="54" t="n">
        <x:v>750</x:v>
      </x:c>
      <x:c r="I28" s="74" t="n">
        <x:f>IF(OR(G28="",H28=""),"",G28/1000*H28)</x:f>
        <x:v>9.375</x:v>
      </x:c>
      <x:c r="J28" s="75" t="n">
        <x:v>2.4</x:v>
      </x:c>
      <x:c r="K28" s="75" t="n">
        <x:v>0.25</x:v>
      </x:c>
      <x:c r="L28" s="75" t="n">
        <x:v>0.02</x:v>
      </x:c>
      <x:c r="M28" s="75" t="n">
        <x:f>IF(OR(J28="",K28=""),"",J28/(2*(1+K28)))</x:f>
        <x:v>0.96</x:v>
      </x:c>
      <x:c r="N28" s="76" t="n">
        <x:f>IF(OR(J28="",H28="",K28=""),"",SQRT(J28*1000000000*(1-K28)/(H28*(1+K28)*(1-2*K28))))</x:f>
        <x:v>1959.5917942265426</x:v>
      </x:c>
      <x:c r="O28" s="75" t="n">
        <x:f>IF(OR(H28="",N28=""),"",H28*N28/1000000)</x:f>
        <x:v>1.469693845669907</x:v>
      </x:c>
      <x:c r="P28" s="74" t="n">
        <x:f>IF(OR(J28="",G28="",K28=""),"",J28*1000000000*(G28/1000)^3/(12*(1-K28^2)))</x:f>
        <x:v>416.66666666666674</x:v>
      </x:c>
      <x:c r="Q28" s="76" t="n">
        <x:f>IF(OR(I28="",P28=""),"",343.2^2/(2*PI())*SQRT(I28/P28))</x:f>
        <x:v>2811.939348631249</x:v>
      </x:c>
      <x:c r="R28" s="58"/>
      <x:c r="S28" s="62" t="n">
        <x:v>0.25</x:v>
      </x:c>
      <x:c r="T28" s="46" t="str">
        <x:v>20 °C / kuru nominal</x:v>
      </x:c>
      <x:c r="U28" s="46" t="str">
        <x:v>DÜŞÜK-ORTA</x:v>
      </x:c>
      <x:c r="V28" s="46" t="str"/>
      <x:c r="W28" s="50" t="str">
        <x:v>Temkinli mühendislik başlangıç değeri; üretici dinamik modül/yoğunluk verisiyle güncellenmelidir.</x:v>
      </x:c>
    </x:row>
    <x:row r="29">
      <x:c r="A29" s="46" t="str">
        <x:v>GB-EN520-R-12p5</x:v>
      </x:c>
      <x:c r="B29" s="46" t="str">
        <x:v>Alçı levha</x:v>
      </x:c>
      <x:c r="C29" s="46" t="str">
        <x:v>EN 520 Tip R – artırılmış dayanım</x:v>
      </x:c>
      <x:c r="D29" s="46" t="str">
        <x:v>GENERIC</x:v>
      </x:c>
      <x:c r="E29" s="46" t="str">
        <x:v>EN520-R</x:v>
      </x:c>
      <x:c r="F29" s="70" t="str">
        <x:v>ENGINEERING_DEFAULT</x:v>
      </x:c>
      <x:c r="G29" s="54" t="n">
        <x:v>12.5</x:v>
      </x:c>
      <x:c r="H29" s="54" t="n">
        <x:v>1000</x:v>
      </x:c>
      <x:c r="I29" s="74" t="n">
        <x:f>IF(OR(G29="",H29=""),"",G29/1000*H29)</x:f>
        <x:v>12.5</x:v>
      </x:c>
      <x:c r="J29" s="75" t="n">
        <x:v>3.8</x:v>
      </x:c>
      <x:c r="K29" s="75" t="n">
        <x:v>0.25</x:v>
      </x:c>
      <x:c r="L29" s="75" t="n">
        <x:v>0.018</x:v>
      </x:c>
      <x:c r="M29" s="75" t="n">
        <x:f>IF(OR(J29="",K29=""),"",J29/(2*(1+K29)))</x:f>
        <x:v>1.52</x:v>
      </x:c>
      <x:c r="N29" s="76" t="n">
        <x:f>IF(OR(J29="",H29="",K29=""),"",SQRT(J29*1000000000*(1-K29)/(H29*(1+K29)*(1-2*K29))))</x:f>
        <x:v>2135.415650406262</x:v>
      </x:c>
      <x:c r="O29" s="75" t="n">
        <x:f>IF(OR(H29="",N29=""),"",H29*N29/1000000)</x:f>
        <x:v>2.135415650406262</x:v>
      </x:c>
      <x:c r="P29" s="74" t="n">
        <x:f>IF(OR(J29="",G29="",K29=""),"",J29*1000000000*(G29/1000)^3/(12*(1-K29^2)))</x:f>
        <x:v>659.7222222222224</x:v>
      </x:c>
      <x:c r="Q29" s="76" t="n">
        <x:f>IF(OR(I29="",P29=""),"",343.2^2/(2*PI())*SQRT(I29/P29))</x:f>
        <x:v>2580.4125170629886</x:v>
      </x:c>
      <x:c r="R29" s="58"/>
      <x:c r="S29" s="62" t="n">
        <x:v>0.3</x:v>
      </x:c>
      <x:c r="T29" s="46" t="str">
        <x:v>20 °C / kuru nominal</x:v>
      </x:c>
      <x:c r="U29" s="46" t="str">
        <x:v>DÜŞÜK-ORTA</x:v>
      </x:c>
      <x:c r="V29" s="46" t="str"/>
      <x:c r="W29" s="50" t="str">
        <x:v>Temkinli mühendislik başlangıç değeri; üretici dinamik modül/yoğunluk verisiyle güncellenmelidir.</x:v>
      </x:c>
    </x:row>
    <x:row r="30">
      <x:c r="A30" s="46" t="str">
        <x:v>GB-EN520-R-15</x:v>
      </x:c>
      <x:c r="B30" s="46" t="str">
        <x:v>Alçı levha</x:v>
      </x:c>
      <x:c r="C30" s="46" t="str">
        <x:v>EN 520 Tip R – artırılmış dayanım</x:v>
      </x:c>
      <x:c r="D30" s="46" t="str">
        <x:v>GENERIC</x:v>
      </x:c>
      <x:c r="E30" s="46" t="str">
        <x:v>EN520-R</x:v>
      </x:c>
      <x:c r="F30" s="70" t="str">
        <x:v>ENGINEERING_DEFAULT</x:v>
      </x:c>
      <x:c r="G30" s="54" t="n">
        <x:v>15</x:v>
      </x:c>
      <x:c r="H30" s="54" t="n">
        <x:v>1000</x:v>
      </x:c>
      <x:c r="I30" s="74" t="n">
        <x:f>IF(OR(G30="",H30=""),"",G30/1000*H30)</x:f>
        <x:v>15</x:v>
      </x:c>
      <x:c r="J30" s="75" t="n">
        <x:v>3.8</x:v>
      </x:c>
      <x:c r="K30" s="75" t="n">
        <x:v>0.25</x:v>
      </x:c>
      <x:c r="L30" s="75" t="n">
        <x:v>0.018</x:v>
      </x:c>
      <x:c r="M30" s="75" t="n">
        <x:f>IF(OR(J30="",K30=""),"",J30/(2*(1+K30)))</x:f>
        <x:v>1.52</x:v>
      </x:c>
      <x:c r="N30" s="76" t="n">
        <x:f>IF(OR(J30="",H30="",K30=""),"",SQRT(J30*1000000000*(1-K30)/(H30*(1+K30)*(1-2*K30))))</x:f>
        <x:v>2135.415650406262</x:v>
      </x:c>
      <x:c r="O30" s="75" t="n">
        <x:f>IF(OR(H30="",N30=""),"",H30*N30/1000000)</x:f>
        <x:v>2.135415650406262</x:v>
      </x:c>
      <x:c r="P30" s="74" t="n">
        <x:f>IF(OR(J30="",G30="",K30=""),"",J30*1000000000*(G30/1000)^3/(12*(1-K30^2)))</x:f>
        <x:v>1140</x:v>
      </x:c>
      <x:c r="Q30" s="76" t="n">
        <x:f>IF(OR(I30="",P30=""),"",343.2^2/(2*PI())*SQRT(I30/P30))</x:f>
        <x:v>2150.343764219158</x:v>
      </x:c>
      <x:c r="R30" s="58"/>
      <x:c r="S30" s="62" t="n">
        <x:v>0.3</x:v>
      </x:c>
      <x:c r="T30" s="46" t="str">
        <x:v>20 °C / kuru nominal</x:v>
      </x:c>
      <x:c r="U30" s="46" t="str">
        <x:v>DÜŞÜK-ORTA</x:v>
      </x:c>
      <x:c r="V30" s="46" t="str"/>
      <x:c r="W30" s="50" t="str">
        <x:v>Temkinli mühendislik başlangıç değeri; üretici dinamik modül/yoğunluk verisiyle güncellenmelidir.</x:v>
      </x:c>
    </x:row>
    <x:row r="31">
      <x:c r="A31" s="46" t="str">
        <x:v>GB-EN520-DF-12p5</x:v>
      </x:c>
      <x:c r="B31" s="46" t="str">
        <x:v>Alçı levha</x:v>
      </x:c>
      <x:c r="C31" s="46" t="str">
        <x:v>EN 520 birleşik Tip DF</x:v>
      </x:c>
      <x:c r="D31" s="46" t="str">
        <x:v>GENERIC</x:v>
      </x:c>
      <x:c r="E31" s="46" t="str">
        <x:v>EN520-DF</x:v>
      </x:c>
      <x:c r="F31" s="70" t="str">
        <x:v>ENGINEERING_DEFAULT</x:v>
      </x:c>
      <x:c r="G31" s="54" t="n">
        <x:v>12.5</x:v>
      </x:c>
      <x:c r="H31" s="54" t="n">
        <x:v>850</x:v>
      </x:c>
      <x:c r="I31" s="74" t="n">
        <x:f>IF(OR(G31="",H31=""),"",G31/1000*H31)</x:f>
        <x:v>10.625</x:v>
      </x:c>
      <x:c r="J31" s="75" t="n">
        <x:v>3</x:v>
      </x:c>
      <x:c r="K31" s="75" t="n">
        <x:v>0.25</x:v>
      </x:c>
      <x:c r="L31" s="75" t="n">
        <x:v>0.02</x:v>
      </x:c>
      <x:c r="M31" s="75" t="n">
        <x:f>IF(OR(J31="",K31=""),"",J31/(2*(1+K31)))</x:f>
        <x:v>1.2</x:v>
      </x:c>
      <x:c r="N31" s="76" t="n">
        <x:f>IF(OR(J31="",H31="",K31=""),"",SQRT(J31*1000000000*(1-K31)/(H31*(1+K31)*(1-2*K31))))</x:f>
        <x:v>2057.983021710106</x:v>
      </x:c>
      <x:c r="O31" s="75" t="n">
        <x:f>IF(OR(H31="",N31=""),"",H31*N31/1000000)</x:f>
        <x:v>1.7492855684535902</x:v>
      </x:c>
      <x:c r="P31" s="74" t="n">
        <x:f>IF(OR(J31="",G31="",K31=""),"",J31*1000000000*(G31/1000)^3/(12*(1-K31^2)))</x:f>
        <x:v>520.8333333333335</x:v>
      </x:c>
      <x:c r="Q31" s="76" t="n">
        <x:f>IF(OR(I31="",P31=""),"",343.2^2/(2*PI())*SQRT(I31/P31))</x:f>
        <x:v>2677.5018138204614</x:v>
      </x:c>
      <x:c r="R31" s="58"/>
      <x:c r="S31" s="62" t="n">
        <x:v>0.25</x:v>
      </x:c>
      <x:c r="T31" s="46" t="str">
        <x:v>20 °C / kuru nominal</x:v>
      </x:c>
      <x:c r="U31" s="46" t="str">
        <x:v>DÜŞÜK-ORTA</x:v>
      </x:c>
      <x:c r="V31" s="46" t="str"/>
      <x:c r="W31" s="50" t="str">
        <x:v>Temkinli mühendislik başlangıç değeri; üretici dinamik modül/yoğunluk verisiyle güncellenmelidir.</x:v>
      </x:c>
    </x:row>
    <x:row r="32">
      <x:c r="A32" s="46" t="str">
        <x:v>GB-EN520-DF-15</x:v>
      </x:c>
      <x:c r="B32" s="46" t="str">
        <x:v>Alçı levha</x:v>
      </x:c>
      <x:c r="C32" s="46" t="str">
        <x:v>EN 520 birleşik Tip DF</x:v>
      </x:c>
      <x:c r="D32" s="46" t="str">
        <x:v>GENERIC</x:v>
      </x:c>
      <x:c r="E32" s="46" t="str">
        <x:v>EN520-DF</x:v>
      </x:c>
      <x:c r="F32" s="70" t="str">
        <x:v>ENGINEERING_DEFAULT</x:v>
      </x:c>
      <x:c r="G32" s="54" t="n">
        <x:v>15</x:v>
      </x:c>
      <x:c r="H32" s="54" t="n">
        <x:v>850</x:v>
      </x:c>
      <x:c r="I32" s="74" t="n">
        <x:f>IF(OR(G32="",H32=""),"",G32/1000*H32)</x:f>
        <x:v>12.75</x:v>
      </x:c>
      <x:c r="J32" s="75" t="n">
        <x:v>3</x:v>
      </x:c>
      <x:c r="K32" s="75" t="n">
        <x:v>0.25</x:v>
      </x:c>
      <x:c r="L32" s="75" t="n">
        <x:v>0.02</x:v>
      </x:c>
      <x:c r="M32" s="75" t="n">
        <x:f>IF(OR(J32="",K32=""),"",J32/(2*(1+K32)))</x:f>
        <x:v>1.2</x:v>
      </x:c>
      <x:c r="N32" s="76" t="n">
        <x:f>IF(OR(J32="",H32="",K32=""),"",SQRT(J32*1000000000*(1-K32)/(H32*(1+K32)*(1-2*K32))))</x:f>
        <x:v>2057.983021710106</x:v>
      </x:c>
      <x:c r="O32" s="75" t="n">
        <x:f>IF(OR(H32="",N32=""),"",H32*N32/1000000)</x:f>
        <x:v>1.7492855684535902</x:v>
      </x:c>
      <x:c r="P32" s="74" t="n">
        <x:f>IF(OR(J32="",G32="",K32=""),"",J32*1000000000*(G32/1000)^3/(12*(1-K32^2)))</x:f>
        <x:v>900</x:v>
      </x:c>
      <x:c r="Q32" s="76" t="n">
        <x:f>IF(OR(I32="",P32=""),"",343.2^2/(2*PI())*SQRT(I32/P32))</x:f>
        <x:v>2231.2515115170513</x:v>
      </x:c>
      <x:c r="R32" s="58"/>
      <x:c r="S32" s="62" t="n">
        <x:v>0.25</x:v>
      </x:c>
      <x:c r="T32" s="46" t="str">
        <x:v>20 °C / kuru nominal</x:v>
      </x:c>
      <x:c r="U32" s="46" t="str">
        <x:v>DÜŞÜK-ORTA</x:v>
      </x:c>
      <x:c r="V32" s="46" t="str"/>
      <x:c r="W32" s="50" t="str">
        <x:v>Temkinli mühendislik başlangıç değeri; üretici dinamik modül/yoğunluk verisiyle güncellenmelidir.</x:v>
      </x:c>
    </x:row>
    <x:row r="33">
      <x:c r="A33" s="46" t="str">
        <x:v>GB-EN520-DF-18</x:v>
      </x:c>
      <x:c r="B33" s="46" t="str">
        <x:v>Alçı levha</x:v>
      </x:c>
      <x:c r="C33" s="46" t="str">
        <x:v>EN 520 birleşik Tip DF</x:v>
      </x:c>
      <x:c r="D33" s="46" t="str">
        <x:v>GENERIC</x:v>
      </x:c>
      <x:c r="E33" s="46" t="str">
        <x:v>EN520-DF</x:v>
      </x:c>
      <x:c r="F33" s="70" t="str">
        <x:v>ENGINEERING_DEFAULT</x:v>
      </x:c>
      <x:c r="G33" s="54" t="n">
        <x:v>18</x:v>
      </x:c>
      <x:c r="H33" s="54" t="n">
        <x:v>850</x:v>
      </x:c>
      <x:c r="I33" s="74" t="n">
        <x:f>IF(OR(G33="",H33=""),"",G33/1000*H33)</x:f>
        <x:v>15.299999999999999</x:v>
      </x:c>
      <x:c r="J33" s="75" t="n">
        <x:v>3</x:v>
      </x:c>
      <x:c r="K33" s="75" t="n">
        <x:v>0.25</x:v>
      </x:c>
      <x:c r="L33" s="75" t="n">
        <x:v>0.02</x:v>
      </x:c>
      <x:c r="M33" s="75" t="n">
        <x:f>IF(OR(J33="",K33=""),"",J33/(2*(1+K33)))</x:f>
        <x:v>1.2</x:v>
      </x:c>
      <x:c r="N33" s="76" t="n">
        <x:f>IF(OR(J33="",H33="",K33=""),"",SQRT(J33*1000000000*(1-K33)/(H33*(1+K33)*(1-2*K33))))</x:f>
        <x:v>2057.983021710106</x:v>
      </x:c>
      <x:c r="O33" s="75" t="n">
        <x:f>IF(OR(H33="",N33=""),"",H33*N33/1000000)</x:f>
        <x:v>1.7492855684535902</x:v>
      </x:c>
      <x:c r="P33" s="74" t="n">
        <x:f>IF(OR(J33="",G33="",K33=""),"",J33*1000000000*(G33/1000)^3/(12*(1-K33^2)))</x:f>
        <x:v>1555.1999999999996</x:v>
      </x:c>
      <x:c r="Q33" s="76" t="n">
        <x:f>IF(OR(I33="",P33=""),"",343.2^2/(2*PI())*SQRT(I33/P33))</x:f>
        <x:v>1859.3762595975431</x:v>
      </x:c>
      <x:c r="R33" s="58"/>
      <x:c r="S33" s="62" t="n">
        <x:v>0.25</x:v>
      </x:c>
      <x:c r="T33" s="46" t="str">
        <x:v>20 °C / kuru nominal</x:v>
      </x:c>
      <x:c r="U33" s="46" t="str">
        <x:v>DÜŞÜK-ORTA</x:v>
      </x:c>
      <x:c r="V33" s="46" t="str"/>
      <x:c r="W33" s="50" t="str">
        <x:v>Temkinli mühendislik başlangıç değeri; üretici dinamik modül/yoğunluk verisiyle güncellenmelidir.</x:v>
      </x:c>
    </x:row>
    <x:row r="34">
      <x:c r="A34" s="46" t="str">
        <x:v>GB-EN520-DFH2-12p5</x:v>
      </x:c>
      <x:c r="B34" s="46" t="str">
        <x:v>Alçı levha</x:v>
      </x:c>
      <x:c r="C34" s="46" t="str">
        <x:v>EN 520 birleşik Tip DFH2</x:v>
      </x:c>
      <x:c r="D34" s="46" t="str">
        <x:v>GENERIC</x:v>
      </x:c>
      <x:c r="E34" s="46" t="str">
        <x:v>EN520-DFH2</x:v>
      </x:c>
      <x:c r="F34" s="70" t="str">
        <x:v>ENGINEERING_DEFAULT</x:v>
      </x:c>
      <x:c r="G34" s="54" t="n">
        <x:v>12.5</x:v>
      </x:c>
      <x:c r="H34" s="54" t="n">
        <x:v>850</x:v>
      </x:c>
      <x:c r="I34" s="74" t="n">
        <x:f>IF(OR(G34="",H34=""),"",G34/1000*H34)</x:f>
        <x:v>10.625</x:v>
      </x:c>
      <x:c r="J34" s="75" t="n">
        <x:v>3</x:v>
      </x:c>
      <x:c r="K34" s="75" t="n">
        <x:v>0.25</x:v>
      </x:c>
      <x:c r="L34" s="75" t="n">
        <x:v>0.022</x:v>
      </x:c>
      <x:c r="M34" s="75" t="n">
        <x:f>IF(OR(J34="",K34=""),"",J34/(2*(1+K34)))</x:f>
        <x:v>1.2</x:v>
      </x:c>
      <x:c r="N34" s="76" t="n">
        <x:f>IF(OR(J34="",H34="",K34=""),"",SQRT(J34*1000000000*(1-K34)/(H34*(1+K34)*(1-2*K34))))</x:f>
        <x:v>2057.983021710106</x:v>
      </x:c>
      <x:c r="O34" s="75" t="n">
        <x:f>IF(OR(H34="",N34=""),"",H34*N34/1000000)</x:f>
        <x:v>1.7492855684535902</x:v>
      </x:c>
      <x:c r="P34" s="74" t="n">
        <x:f>IF(OR(J34="",G34="",K34=""),"",J34*1000000000*(G34/1000)^3/(12*(1-K34^2)))</x:f>
        <x:v>520.8333333333335</x:v>
      </x:c>
      <x:c r="Q34" s="76" t="n">
        <x:f>IF(OR(I34="",P34=""),"",343.2^2/(2*PI())*SQRT(I34/P34))</x:f>
        <x:v>2677.5018138204614</x:v>
      </x:c>
      <x:c r="R34" s="58"/>
      <x:c r="S34" s="62" t="n">
        <x:v>0.25</x:v>
      </x:c>
      <x:c r="T34" s="46" t="str">
        <x:v>20 °C / kuru nominal</x:v>
      </x:c>
      <x:c r="U34" s="46" t="str">
        <x:v>DÜŞÜK-ORTA</x:v>
      </x:c>
      <x:c r="V34" s="46" t="str"/>
      <x:c r="W34" s="50" t="str">
        <x:v>Temkinli mühendislik başlangıç değeri; üretici dinamik modül/yoğunluk verisiyle güncellenmelidir.</x:v>
      </x:c>
    </x:row>
    <x:row r="35">
      <x:c r="A35" s="46" t="str">
        <x:v>GB-EN520-DFH2-15</x:v>
      </x:c>
      <x:c r="B35" s="46" t="str">
        <x:v>Alçı levha</x:v>
      </x:c>
      <x:c r="C35" s="46" t="str">
        <x:v>EN 520 birleşik Tip DFH2</x:v>
      </x:c>
      <x:c r="D35" s="46" t="str">
        <x:v>GENERIC</x:v>
      </x:c>
      <x:c r="E35" s="46" t="str">
        <x:v>EN520-DFH2</x:v>
      </x:c>
      <x:c r="F35" s="70" t="str">
        <x:v>ENGINEERING_DEFAULT</x:v>
      </x:c>
      <x:c r="G35" s="54" t="n">
        <x:v>15</x:v>
      </x:c>
      <x:c r="H35" s="54" t="n">
        <x:v>850</x:v>
      </x:c>
      <x:c r="I35" s="74" t="n">
        <x:f>IF(OR(G35="",H35=""),"",G35/1000*H35)</x:f>
        <x:v>12.75</x:v>
      </x:c>
      <x:c r="J35" s="75" t="n">
        <x:v>3</x:v>
      </x:c>
      <x:c r="K35" s="75" t="n">
        <x:v>0.25</x:v>
      </x:c>
      <x:c r="L35" s="75" t="n">
        <x:v>0.022</x:v>
      </x:c>
      <x:c r="M35" s="75" t="n">
        <x:f>IF(OR(J35="",K35=""),"",J35/(2*(1+K35)))</x:f>
        <x:v>1.2</x:v>
      </x:c>
      <x:c r="N35" s="76" t="n">
        <x:f>IF(OR(J35="",H35="",K35=""),"",SQRT(J35*1000000000*(1-K35)/(H35*(1+K35)*(1-2*K35))))</x:f>
        <x:v>2057.983021710106</x:v>
      </x:c>
      <x:c r="O35" s="75" t="n">
        <x:f>IF(OR(H35="",N35=""),"",H35*N35/1000000)</x:f>
        <x:v>1.7492855684535902</x:v>
      </x:c>
      <x:c r="P35" s="74" t="n">
        <x:f>IF(OR(J35="",G35="",K35=""),"",J35*1000000000*(G35/1000)^3/(12*(1-K35^2)))</x:f>
        <x:v>900</x:v>
      </x:c>
      <x:c r="Q35" s="76" t="n">
        <x:f>IF(OR(I35="",P35=""),"",343.2^2/(2*PI())*SQRT(I35/P35))</x:f>
        <x:v>2231.2515115170513</x:v>
      </x:c>
      <x:c r="R35" s="58"/>
      <x:c r="S35" s="62" t="n">
        <x:v>0.25</x:v>
      </x:c>
      <x:c r="T35" s="46" t="str">
        <x:v>20 °C / kuru nominal</x:v>
      </x:c>
      <x:c r="U35" s="46" t="str">
        <x:v>DÜŞÜK-ORTA</x:v>
      </x:c>
      <x:c r="V35" s="46" t="str"/>
      <x:c r="W35" s="50" t="str">
        <x:v>Temkinli mühendislik başlangıç değeri; üretici dinamik modül/yoğunluk verisiyle güncellenmelidir.</x:v>
      </x:c>
    </x:row>
    <x:row r="36">
      <x:c r="A36" s="46" t="str">
        <x:v>GB-EN520-DFH2IR-12p5</x:v>
      </x:c>
      <x:c r="B36" s="46" t="str">
        <x:v>Alçı levha</x:v>
      </x:c>
      <x:c r="C36" s="46" t="str">
        <x:v>EN 520 birleşik Tip DFH2IR</x:v>
      </x:c>
      <x:c r="D36" s="46" t="str">
        <x:v>GENERIC</x:v>
      </x:c>
      <x:c r="E36" s="46" t="str">
        <x:v>EN520-DFH2IR</x:v>
      </x:c>
      <x:c r="F36" s="70" t="str">
        <x:v>ENGINEERING_DEFAULT</x:v>
      </x:c>
      <x:c r="G36" s="54" t="n">
        <x:v>12.5</x:v>
      </x:c>
      <x:c r="H36" s="54" t="n">
        <x:v>1100</x:v>
      </x:c>
      <x:c r="I36" s="74" t="n">
        <x:f>IF(OR(G36="",H36=""),"",G36/1000*H36)</x:f>
        <x:v>13.75</x:v>
      </x:c>
      <x:c r="J36" s="75" t="n">
        <x:v>4</x:v>
      </x:c>
      <x:c r="K36" s="75" t="n">
        <x:v>0.25</x:v>
      </x:c>
      <x:c r="L36" s="75" t="n">
        <x:v>0.02</x:v>
      </x:c>
      <x:c r="M36" s="75" t="n">
        <x:f>IF(OR(J36="",K36=""),"",J36/(2*(1+K36)))</x:f>
        <x:v>1.6</x:v>
      </x:c>
      <x:c r="N36" s="76" t="n">
        <x:f>IF(OR(J36="",H36="",K36=""),"",SQRT(J36*1000000000*(1-K36)/(H36*(1+K36)*(1-2*K36))))</x:f>
        <x:v>2088.931871468374</x:v>
      </x:c>
      <x:c r="O36" s="75" t="n">
        <x:f>IF(OR(H36="",N36=""),"",H36*N36/1000000)</x:f>
        <x:v>2.2978250586152114</x:v>
      </x:c>
      <x:c r="P36" s="74" t="n">
        <x:f>IF(OR(J36="",G36="",K36=""),"",J36*1000000000*(G36/1000)^3/(12*(1-K36^2)))</x:f>
        <x:v>694.4444444444446</x:v>
      </x:c>
      <x:c r="Q36" s="76" t="n">
        <x:f>IF(OR(I36="",P36=""),"",343.2^2/(2*PI())*SQRT(I36/P36))</x:f>
        <x:v>2637.832927297527</x:v>
      </x:c>
      <x:c r="R36" s="58"/>
      <x:c r="S36" s="62" t="n">
        <x:v>0.3</x:v>
      </x:c>
      <x:c r="T36" s="46" t="str">
        <x:v>20 °C / kuru nominal</x:v>
      </x:c>
      <x:c r="U36" s="46" t="str">
        <x:v>DÜŞÜK-ORTA</x:v>
      </x:c>
      <x:c r="V36" s="46" t="str"/>
      <x:c r="W36" s="50" t="str">
        <x:v>Temkinli mühendislik başlangıç değeri; üretici dinamik modül/yoğunluk verisiyle güncellenmelidir.</x:v>
      </x:c>
    </x:row>
    <x:row r="37">
      <x:c r="A37" s="46" t="str">
        <x:v>GB-EN520-DFH2IR-15</x:v>
      </x:c>
      <x:c r="B37" s="46" t="str">
        <x:v>Alçı levha</x:v>
      </x:c>
      <x:c r="C37" s="46" t="str">
        <x:v>EN 520 birleşik Tip DFH2IR</x:v>
      </x:c>
      <x:c r="D37" s="46" t="str">
        <x:v>GENERIC</x:v>
      </x:c>
      <x:c r="E37" s="46" t="str">
        <x:v>EN520-DFH2IR</x:v>
      </x:c>
      <x:c r="F37" s="70" t="str">
        <x:v>ENGINEERING_DEFAULT</x:v>
      </x:c>
      <x:c r="G37" s="54" t="n">
        <x:v>15</x:v>
      </x:c>
      <x:c r="H37" s="54" t="n">
        <x:v>1100</x:v>
      </x:c>
      <x:c r="I37" s="74" t="n">
        <x:f>IF(OR(G37="",H37=""),"",G37/1000*H37)</x:f>
        <x:v>16.5</x:v>
      </x:c>
      <x:c r="J37" s="75" t="n">
        <x:v>4</x:v>
      </x:c>
      <x:c r="K37" s="75" t="n">
        <x:v>0.25</x:v>
      </x:c>
      <x:c r="L37" s="75" t="n">
        <x:v>0.02</x:v>
      </x:c>
      <x:c r="M37" s="75" t="n">
        <x:f>IF(OR(J37="",K37=""),"",J37/(2*(1+K37)))</x:f>
        <x:v>1.6</x:v>
      </x:c>
      <x:c r="N37" s="76" t="n">
        <x:f>IF(OR(J37="",H37="",K37=""),"",SQRT(J37*1000000000*(1-K37)/(H37*(1+K37)*(1-2*K37))))</x:f>
        <x:v>2088.931871468374</x:v>
      </x:c>
      <x:c r="O37" s="75" t="n">
        <x:f>IF(OR(H37="",N37=""),"",H37*N37/1000000)</x:f>
        <x:v>2.2978250586152114</x:v>
      </x:c>
      <x:c r="P37" s="74" t="n">
        <x:f>IF(OR(J37="",G37="",K37=""),"",J37*1000000000*(G37/1000)^3/(12*(1-K37^2)))</x:f>
        <x:v>1200</x:v>
      </x:c>
      <x:c r="Q37" s="76" t="n">
        <x:f>IF(OR(I37="",P37=""),"",343.2^2/(2*PI())*SQRT(I37/P37))</x:f>
        <x:v>2198.1941060812733</x:v>
      </x:c>
      <x:c r="R37" s="58"/>
      <x:c r="S37" s="62" t="n">
        <x:v>0.3</x:v>
      </x:c>
      <x:c r="T37" s="46" t="str">
        <x:v>20 °C / kuru nominal</x:v>
      </x:c>
      <x:c r="U37" s="46" t="str">
        <x:v>DÜŞÜK-ORTA</x:v>
      </x:c>
      <x:c r="V37" s="46" t="str"/>
      <x:c r="W37" s="50" t="str">
        <x:v>Temkinli mühendislik başlangıç değeri; üretici dinamik modül/yoğunluk verisiyle güncellenmelidir.</x:v>
      </x:c>
    </x:row>
    <x:row r="38">
      <x:c r="A38" s="46" t="str">
        <x:v>GB-LIGHT-6p5</x:v>
      </x:c>
      <x:c r="B38" s="46" t="str">
        <x:v>Alçı levha</x:v>
      </x:c>
      <x:c r="C38" s="46" t="str">
        <x:v>Hafif alçı levha</x:v>
      </x:c>
      <x:c r="D38" s="46" t="str">
        <x:v>GENERIC</x:v>
      </x:c>
      <x:c r="E38" s="46" t="str">
        <x:v>LIGHT</x:v>
      </x:c>
      <x:c r="F38" s="70" t="str">
        <x:v>ENGINEERING_DEFAULT</x:v>
      </x:c>
      <x:c r="G38" s="54" t="n">
        <x:v>6.5</x:v>
      </x:c>
      <x:c r="H38" s="54" t="n">
        <x:v>650</x:v>
      </x:c>
      <x:c r="I38" s="74" t="n">
        <x:f>IF(OR(G38="",H38=""),"",G38/1000*H38)</x:f>
        <x:v>4.225</x:v>
      </x:c>
      <x:c r="J38" s="75" t="n">
        <x:v>2</x:v>
      </x:c>
      <x:c r="K38" s="75" t="n">
        <x:v>0.25</x:v>
      </x:c>
      <x:c r="L38" s="75" t="n">
        <x:v>0.02</x:v>
      </x:c>
      <x:c r="M38" s="75" t="n">
        <x:f>IF(OR(J38="",K38=""),"",J38/(2*(1+K38)))</x:f>
        <x:v>0.8</x:v>
      </x:c>
      <x:c r="N38" s="76" t="n">
        <x:f>IF(OR(J38="",H38="",K38=""),"",SQRT(J38*1000000000*(1-K38)/(H38*(1+K38)*(1-2*K38))))</x:f>
        <x:v>1921.5378456610456</x:v>
      </x:c>
      <x:c r="O38" s="75" t="n">
        <x:f>IF(OR(H38="",N38=""),"",H38*N38/1000000)</x:f>
        <x:v>1.2489995996796797</x:v>
      </x:c>
      <x:c r="P38" s="74" t="n">
        <x:f>IF(OR(J38="",G38="",K38=""),"",J38*1000000000*(G38/1000)^3/(12*(1-K38^2)))</x:f>
        <x:v>48.82222222222222</x:v>
      </x:c>
      <x:c r="Q38" s="76" t="n">
        <x:f>IF(OR(I38="",P38=""),"",343.2^2/(2*PI())*SQRT(I38/P38))</x:f>
        <x:v>5514.666772965432</x:v>
      </x:c>
      <x:c r="R38" s="58"/>
      <x:c r="S38" s="62" t="n">
        <x:v>0.22</x:v>
      </x:c>
      <x:c r="T38" s="46" t="str">
        <x:v>20 °C / kuru nominal</x:v>
      </x:c>
      <x:c r="U38" s="46" t="str">
        <x:v>DÜŞÜK-ORTA</x:v>
      </x:c>
      <x:c r="V38" s="46" t="str"/>
      <x:c r="W38" s="50" t="str">
        <x:v>Temkinli mühendislik başlangıç değeri; üretici dinamik modül/yoğunluk verisiyle güncellenmelidir.</x:v>
      </x:c>
    </x:row>
    <x:row r="39">
      <x:c r="A39" s="46" t="str">
        <x:v>GB-LIGHT-9p5</x:v>
      </x:c>
      <x:c r="B39" s="46" t="str">
        <x:v>Alçı levha</x:v>
      </x:c>
      <x:c r="C39" s="46" t="str">
        <x:v>Hafif alçı levha</x:v>
      </x:c>
      <x:c r="D39" s="46" t="str">
        <x:v>GENERIC</x:v>
      </x:c>
      <x:c r="E39" s="46" t="str">
        <x:v>LIGHT</x:v>
      </x:c>
      <x:c r="F39" s="70" t="str">
        <x:v>ENGINEERING_DEFAULT</x:v>
      </x:c>
      <x:c r="G39" s="54" t="n">
        <x:v>9.5</x:v>
      </x:c>
      <x:c r="H39" s="54" t="n">
        <x:v>650</x:v>
      </x:c>
      <x:c r="I39" s="74" t="n">
        <x:f>IF(OR(G39="",H39=""),"",G39/1000*H39)</x:f>
        <x:v>6.175</x:v>
      </x:c>
      <x:c r="J39" s="75" t="n">
        <x:v>2</x:v>
      </x:c>
      <x:c r="K39" s="75" t="n">
        <x:v>0.25</x:v>
      </x:c>
      <x:c r="L39" s="75" t="n">
        <x:v>0.02</x:v>
      </x:c>
      <x:c r="M39" s="75" t="n">
        <x:f>IF(OR(J39="",K39=""),"",J39/(2*(1+K39)))</x:f>
        <x:v>0.8</x:v>
      </x:c>
      <x:c r="N39" s="76" t="n">
        <x:f>IF(OR(J39="",H39="",K39=""),"",SQRT(J39*1000000000*(1-K39)/(H39*(1+K39)*(1-2*K39))))</x:f>
        <x:v>1921.5378456610456</x:v>
      </x:c>
      <x:c r="O39" s="75" t="n">
        <x:f>IF(OR(H39="",N39=""),"",H39*N39/1000000)</x:f>
        <x:v>1.2489995996796797</x:v>
      </x:c>
      <x:c r="P39" s="74" t="n">
        <x:f>IF(OR(J39="",G39="",K39=""),"",J39*1000000000*(G39/1000)^3/(12*(1-K39^2)))</x:f>
        <x:v>152.42222222222222</x:v>
      </x:c>
      <x:c r="Q39" s="76" t="n">
        <x:f>IF(OR(I39="",P39=""),"",343.2^2/(2*PI())*SQRT(I39/P39))</x:f>
        <x:v>3773.193055186874</x:v>
      </x:c>
      <x:c r="R39" s="58"/>
      <x:c r="S39" s="62" t="n">
        <x:v>0.22</x:v>
      </x:c>
      <x:c r="T39" s="46" t="str">
        <x:v>20 °C / kuru nominal</x:v>
      </x:c>
      <x:c r="U39" s="46" t="str">
        <x:v>DÜŞÜK-ORTA</x:v>
      </x:c>
      <x:c r="V39" s="46" t="str"/>
      <x:c r="W39" s="50" t="str">
        <x:v>Temkinli mühendislik başlangıç değeri; üretici dinamik modül/yoğunluk verisiyle güncellenmelidir.</x:v>
      </x:c>
    </x:row>
    <x:row r="40">
      <x:c r="A40" s="46" t="str">
        <x:v>GB-LIGHT-12p5</x:v>
      </x:c>
      <x:c r="B40" s="46" t="str">
        <x:v>Alçı levha</x:v>
      </x:c>
      <x:c r="C40" s="46" t="str">
        <x:v>Hafif alçı levha</x:v>
      </x:c>
      <x:c r="D40" s="46" t="str">
        <x:v>GENERIC</x:v>
      </x:c>
      <x:c r="E40" s="46" t="str">
        <x:v>LIGHT</x:v>
      </x:c>
      <x:c r="F40" s="70" t="str">
        <x:v>ENGINEERING_DEFAULT</x:v>
      </x:c>
      <x:c r="G40" s="54" t="n">
        <x:v>12.5</x:v>
      </x:c>
      <x:c r="H40" s="54" t="n">
        <x:v>650</x:v>
      </x:c>
      <x:c r="I40" s="74" t="n">
        <x:f>IF(OR(G40="",H40=""),"",G40/1000*H40)</x:f>
        <x:v>8.125</x:v>
      </x:c>
      <x:c r="J40" s="75" t="n">
        <x:v>2</x:v>
      </x:c>
      <x:c r="K40" s="75" t="n">
        <x:v>0.25</x:v>
      </x:c>
      <x:c r="L40" s="75" t="n">
        <x:v>0.02</x:v>
      </x:c>
      <x:c r="M40" s="75" t="n">
        <x:f>IF(OR(J40="",K40=""),"",J40/(2*(1+K40)))</x:f>
        <x:v>0.8</x:v>
      </x:c>
      <x:c r="N40" s="76" t="n">
        <x:f>IF(OR(J40="",H40="",K40=""),"",SQRT(J40*1000000000*(1-K40)/(H40*(1+K40)*(1-2*K40))))</x:f>
        <x:v>1921.5378456610456</x:v>
      </x:c>
      <x:c r="O40" s="75" t="n">
        <x:f>IF(OR(H40="",N40=""),"",H40*N40/1000000)</x:f>
        <x:v>1.2489995996796797</x:v>
      </x:c>
      <x:c r="P40" s="74" t="n">
        <x:f>IF(OR(J40="",G40="",K40=""),"",J40*1000000000*(G40/1000)^3/(12*(1-K40^2)))</x:f>
        <x:v>347.2222222222223</x:v>
      </x:c>
      <x:c r="Q40" s="76" t="n">
        <x:f>IF(OR(I40="",P40=""),"",343.2^2/(2*PI())*SQRT(I40/P40))</x:f>
        <x:v>2867.6267219420242</x:v>
      </x:c>
      <x:c r="R40" s="58"/>
      <x:c r="S40" s="62" t="n">
        <x:v>0.22</x:v>
      </x:c>
      <x:c r="T40" s="46" t="str">
        <x:v>20 °C / kuru nominal</x:v>
      </x:c>
      <x:c r="U40" s="46" t="str">
        <x:v>DÜŞÜK-ORTA</x:v>
      </x:c>
      <x:c r="V40" s="46" t="str"/>
      <x:c r="W40" s="50" t="str">
        <x:v>Temkinli mühendislik başlangıç değeri; üretici dinamik modül/yoğunluk verisiyle güncellenmelidir.</x:v>
      </x:c>
    </x:row>
    <x:row r="41">
      <x:c r="A41" s="46" t="str">
        <x:v>GB-ACOUSTIC-12p5</x:v>
      </x:c>
      <x:c r="B41" s="46" t="str">
        <x:v>Alçı levha</x:v>
      </x:c>
      <x:c r="C41" s="46" t="str">
        <x:v>Yüksek yoğunluklu akustik alçı levha</x:v>
      </x:c>
      <x:c r="D41" s="46" t="str">
        <x:v>GENERIC</x:v>
      </x:c>
      <x:c r="E41" s="46" t="str">
        <x:v>ACOUSTIC</x:v>
      </x:c>
      <x:c r="F41" s="70" t="str">
        <x:v>ENGINEERING_DEFAULT</x:v>
      </x:c>
      <x:c r="G41" s="54" t="n">
        <x:v>12.5</x:v>
      </x:c>
      <x:c r="H41" s="54" t="n">
        <x:v>1050</x:v>
      </x:c>
      <x:c r="I41" s="74" t="n">
        <x:f>IF(OR(G41="",H41=""),"",G41/1000*H41)</x:f>
        <x:v>13.125</x:v>
      </x:c>
      <x:c r="J41" s="75" t="n">
        <x:v>3.5</x:v>
      </x:c>
      <x:c r="K41" s="75" t="n">
        <x:v>0.25</x:v>
      </x:c>
      <x:c r="L41" s="75" t="n">
        <x:v>0.02</x:v>
      </x:c>
      <x:c r="M41" s="75" t="n">
        <x:f>IF(OR(J41="",K41=""),"",J41/(2*(1+K41)))</x:f>
        <x:v>1.4</x:v>
      </x:c>
      <x:c r="N41" s="76" t="n">
        <x:f>IF(OR(J41="",H41="",K41=""),"",SQRT(J41*1000000000*(1-K41)/(H41*(1+K41)*(1-2*K41))))</x:f>
        <x:v>2000</x:v>
      </x:c>
      <x:c r="O41" s="75" t="n">
        <x:f>IF(OR(H41="",N41=""),"",H41*N41/1000000)</x:f>
        <x:v>2.1</x:v>
      </x:c>
      <x:c r="P41" s="74" t="n">
        <x:f>IF(OR(J41="",G41="",K41=""),"",J41*1000000000*(G41/1000)^3/(12*(1-K41^2)))</x:f>
        <x:v>607.638888888889</x:v>
      </x:c>
      <x:c r="Q41" s="76" t="n">
        <x:f>IF(OR(I41="",P41=""),"",343.2^2/(2*PI())*SQRT(I41/P41))</x:f>
        <x:v>2755.1266367202616</x:v>
      </x:c>
      <x:c r="R41" s="58"/>
      <x:c r="S41" s="62" t="n">
        <x:v>0.3</x:v>
      </x:c>
      <x:c r="T41" s="46" t="str">
        <x:v>20 °C / kuru nominal</x:v>
      </x:c>
      <x:c r="U41" s="46" t="str">
        <x:v>DÜŞÜK-ORTA</x:v>
      </x:c>
      <x:c r="V41" s="46" t="str"/>
      <x:c r="W41" s="50" t="str">
        <x:v>Temkinli mühendislik başlangıç değeri; üretici dinamik modül/yoğunluk verisiyle güncellenmelidir.</x:v>
      </x:c>
    </x:row>
    <x:row r="42">
      <x:c r="A42" s="46" t="str">
        <x:v>GB-ACOUSTIC-15</x:v>
      </x:c>
      <x:c r="B42" s="46" t="str">
        <x:v>Alçı levha</x:v>
      </x:c>
      <x:c r="C42" s="46" t="str">
        <x:v>Yüksek yoğunluklu akustik alçı levha</x:v>
      </x:c>
      <x:c r="D42" s="46" t="str">
        <x:v>GENERIC</x:v>
      </x:c>
      <x:c r="E42" s="46" t="str">
        <x:v>ACOUSTIC</x:v>
      </x:c>
      <x:c r="F42" s="70" t="str">
        <x:v>ENGINEERING_DEFAULT</x:v>
      </x:c>
      <x:c r="G42" s="54" t="n">
        <x:v>15</x:v>
      </x:c>
      <x:c r="H42" s="54" t="n">
        <x:v>1050</x:v>
      </x:c>
      <x:c r="I42" s="74" t="n">
        <x:f>IF(OR(G42="",H42=""),"",G42/1000*H42)</x:f>
        <x:v>15.75</x:v>
      </x:c>
      <x:c r="J42" s="75" t="n">
        <x:v>3.5</x:v>
      </x:c>
      <x:c r="K42" s="75" t="n">
        <x:v>0.25</x:v>
      </x:c>
      <x:c r="L42" s="75" t="n">
        <x:v>0.02</x:v>
      </x:c>
      <x:c r="M42" s="75" t="n">
        <x:f>IF(OR(J42="",K42=""),"",J42/(2*(1+K42)))</x:f>
        <x:v>1.4</x:v>
      </x:c>
      <x:c r="N42" s="76" t="n">
        <x:f>IF(OR(J42="",H42="",K42=""),"",SQRT(J42*1000000000*(1-K42)/(H42*(1+K42)*(1-2*K42))))</x:f>
        <x:v>2000</x:v>
      </x:c>
      <x:c r="O42" s="75" t="n">
        <x:f>IF(OR(H42="",N42=""),"",H42*N42/1000000)</x:f>
        <x:v>2.1</x:v>
      </x:c>
      <x:c r="P42" s="74" t="n">
        <x:f>IF(OR(J42="",G42="",K42=""),"",J42*1000000000*(G42/1000)^3/(12*(1-K42^2)))</x:f>
        <x:v>1050</x:v>
      </x:c>
      <x:c r="Q42" s="76" t="n">
        <x:f>IF(OR(I42="",P42=""),"",343.2^2/(2*PI())*SQRT(I42/P42))</x:f>
        <x:v>2295.9388639335516</x:v>
      </x:c>
      <x:c r="R42" s="58"/>
      <x:c r="S42" s="62" t="n">
        <x:v>0.3</x:v>
      </x:c>
      <x:c r="T42" s="46" t="str">
        <x:v>20 °C / kuru nominal</x:v>
      </x:c>
      <x:c r="U42" s="46" t="str">
        <x:v>DÜŞÜK-ORTA</x:v>
      </x:c>
      <x:c r="V42" s="46" t="str"/>
      <x:c r="W42" s="50" t="str">
        <x:v>Temkinli mühendislik başlangıç değeri; üretici dinamik modül/yoğunluk verisiyle güncellenmelidir.</x:v>
      </x:c>
    </x:row>
    <x:row r="43">
      <x:c r="A43" s="46" t="str">
        <x:v>GB-VHD-12p5</x:v>
      </x:c>
      <x:c r="B43" s="46" t="str">
        <x:v>Alçı levha</x:v>
      </x:c>
      <x:c r="C43" s="46" t="str">
        <x:v>Çok yüksek yoğunluklu akustik alçı levha</x:v>
      </x:c>
      <x:c r="D43" s="46" t="str">
        <x:v>GENERIC</x:v>
      </x:c>
      <x:c r="E43" s="46" t="str">
        <x:v>VHD</x:v>
      </x:c>
      <x:c r="F43" s="70" t="str">
        <x:v>ENGINEERING_DEFAULT</x:v>
      </x:c>
      <x:c r="G43" s="54" t="n">
        <x:v>12.5</x:v>
      </x:c>
      <x:c r="H43" s="54" t="n">
        <x:v>1400</x:v>
      </x:c>
      <x:c r="I43" s="74" t="n">
        <x:f>IF(OR(G43="",H43=""),"",G43/1000*H43)</x:f>
        <x:v>17.5</x:v>
      </x:c>
      <x:c r="J43" s="75" t="n">
        <x:v>3.8</x:v>
      </x:c>
      <x:c r="K43" s="75" t="n">
        <x:v>0.25</x:v>
      </x:c>
      <x:c r="L43" s="75" t="n">
        <x:v>0.022</x:v>
      </x:c>
      <x:c r="M43" s="75" t="n">
        <x:f>IF(OR(J43="",K43=""),"",J43/(2*(1+K43)))</x:f>
        <x:v>1.52</x:v>
      </x:c>
      <x:c r="N43" s="76" t="n">
        <x:f>IF(OR(J43="",H43="",K43=""),"",SQRT(J43*1000000000*(1-K43)/(H43*(1+K43)*(1-2*K43))))</x:f>
        <x:v>1804.755622554715</x:v>
      </x:c>
      <x:c r="O43" s="75" t="n">
        <x:f>IF(OR(H43="",N43=""),"",H43*N43/1000000)</x:f>
        <x:v>2.5266578715766013</x:v>
      </x:c>
      <x:c r="P43" s="74" t="n">
        <x:f>IF(OR(J43="",G43="",K43=""),"",J43*1000000000*(G43/1000)^3/(12*(1-K43^2)))</x:f>
        <x:v>659.7222222222224</x:v>
      </x:c>
      <x:c r="Q43" s="76" t="n">
        <x:f>IF(OR(I43="",P43=""),"",343.2^2/(2*PI())*SQRT(I43/P43))</x:f>
        <x:v>3053.185264850709</x:v>
      </x:c>
      <x:c r="R43" s="58"/>
      <x:c r="S43" s="62" t="n">
        <x:v>0.32</x:v>
      </x:c>
      <x:c r="T43" s="46" t="str">
        <x:v>20 °C / kuru nominal</x:v>
      </x:c>
      <x:c r="U43" s="46" t="str">
        <x:v>DÜŞÜK-ORTA</x:v>
      </x:c>
      <x:c r="V43" s="46" t="str"/>
      <x:c r="W43" s="50" t="str">
        <x:v>Temkinli mühendislik başlangıç değeri; üretici dinamik modül/yoğunluk verisiyle güncellenmelidir.</x:v>
      </x:c>
    </x:row>
    <x:row r="44">
      <x:c r="A44" s="46" t="str">
        <x:v>GB-GYPSUM-FIBRE-10</x:v>
      </x:c>
      <x:c r="B44" s="46" t="str">
        <x:v>Alçı levha</x:v>
      </x:c>
      <x:c r="C44" s="46" t="str">
        <x:v>Alçı lif levha</x:v>
      </x:c>
      <x:c r="D44" s="46" t="str">
        <x:v>GENERIC</x:v>
      </x:c>
      <x:c r="E44" s="46" t="str">
        <x:v>GYPSUM-FIBRE</x:v>
      </x:c>
      <x:c r="F44" s="70" t="str">
        <x:v>ENGINEERING_DEFAULT</x:v>
      </x:c>
      <x:c r="G44" s="54" t="n">
        <x:v>10</x:v>
      </x:c>
      <x:c r="H44" s="54" t="n">
        <x:v>1150</x:v>
      </x:c>
      <x:c r="I44" s="74" t="n">
        <x:f>IF(OR(G44="",H44=""),"",G44/1000*H44)</x:f>
        <x:v>11.5</x:v>
      </x:c>
      <x:c r="J44" s="75" t="n">
        <x:v>3.5</x:v>
      </x:c>
      <x:c r="K44" s="75" t="n">
        <x:v>0.25</x:v>
      </x:c>
      <x:c r="L44" s="75" t="n">
        <x:v>0.025</x:v>
      </x:c>
      <x:c r="M44" s="75" t="n">
        <x:f>IF(OR(J44="",K44=""),"",J44/(2*(1+K44)))</x:f>
        <x:v>1.4</x:v>
      </x:c>
      <x:c r="N44" s="76" t="n">
        <x:f>IF(OR(J44="",H44="",K44=""),"",SQRT(J44*1000000000*(1-K44)/(H44*(1+K44)*(1-2*K44))))</x:f>
        <x:v>1911.0661718118183</x:v>
      </x:c>
      <x:c r="O44" s="75" t="n">
        <x:f>IF(OR(H44="",N44=""),"",H44*N44/1000000)</x:f>
        <x:v>2.197726097583591</x:v>
      </x:c>
      <x:c r="P44" s="74" t="n">
        <x:f>IF(OR(J44="",G44="",K44=""),"",J44*1000000000*(G44/1000)^3/(12*(1-K44^2)))</x:f>
        <x:v>311.11111111111114</x:v>
      </x:c>
      <x:c r="Q44" s="76" t="n">
        <x:f>IF(OR(I44="",P44=""),"",343.2^2/(2*PI())*SQRT(I44/P44))</x:f>
        <x:v>3604.1748283737056</x:v>
      </x:c>
      <x:c r="R44" s="58"/>
      <x:c r="S44" s="62" t="n">
        <x:v>0.32</x:v>
      </x:c>
      <x:c r="T44" s="46" t="str">
        <x:v>20 °C / kuru nominal</x:v>
      </x:c>
      <x:c r="U44" s="46" t="str">
        <x:v>DÜŞÜK-ORTA</x:v>
      </x:c>
      <x:c r="V44" s="46" t="str"/>
      <x:c r="W44" s="50" t="str">
        <x:v>Temkinli mühendislik başlangıç değeri; üretici dinamik modül/yoğunluk verisiyle güncellenmelidir.</x:v>
      </x:c>
    </x:row>
    <x:row r="45">
      <x:c r="A45" s="46" t="str">
        <x:v>GB-GYPSUM-FIBRE-12p5</x:v>
      </x:c>
      <x:c r="B45" s="46" t="str">
        <x:v>Alçı levha</x:v>
      </x:c>
      <x:c r="C45" s="46" t="str">
        <x:v>Alçı lif levha</x:v>
      </x:c>
      <x:c r="D45" s="46" t="str">
        <x:v>GENERIC</x:v>
      </x:c>
      <x:c r="E45" s="46" t="str">
        <x:v>GYPSUM-FIBRE</x:v>
      </x:c>
      <x:c r="F45" s="70" t="str">
        <x:v>ENGINEERING_DEFAULT</x:v>
      </x:c>
      <x:c r="G45" s="54" t="n">
        <x:v>12.5</x:v>
      </x:c>
      <x:c r="H45" s="54" t="n">
        <x:v>1150</x:v>
      </x:c>
      <x:c r="I45" s="74" t="n">
        <x:f>IF(OR(G45="",H45=""),"",G45/1000*H45)</x:f>
        <x:v>14.375</x:v>
      </x:c>
      <x:c r="J45" s="75" t="n">
        <x:v>3.5</x:v>
      </x:c>
      <x:c r="K45" s="75" t="n">
        <x:v>0.25</x:v>
      </x:c>
      <x:c r="L45" s="75" t="n">
        <x:v>0.025</x:v>
      </x:c>
      <x:c r="M45" s="75" t="n">
        <x:f>IF(OR(J45="",K45=""),"",J45/(2*(1+K45)))</x:f>
        <x:v>1.4</x:v>
      </x:c>
      <x:c r="N45" s="76" t="n">
        <x:f>IF(OR(J45="",H45="",K45=""),"",SQRT(J45*1000000000*(1-K45)/(H45*(1+K45)*(1-2*K45))))</x:f>
        <x:v>1911.0661718118183</x:v>
      </x:c>
      <x:c r="O45" s="75" t="n">
        <x:f>IF(OR(H45="",N45=""),"",H45*N45/1000000)</x:f>
        <x:v>2.197726097583591</x:v>
      </x:c>
      <x:c r="P45" s="74" t="n">
        <x:f>IF(OR(J45="",G45="",K45=""),"",J45*1000000000*(G45/1000)^3/(12*(1-K45^2)))</x:f>
        <x:v>607.638888888889</x:v>
      </x:c>
      <x:c r="Q45" s="76" t="n">
        <x:f>IF(OR(I45="",P45=""),"",343.2^2/(2*PI())*SQRT(I45/P45))</x:f>
        <x:v>2883.339862698964</x:v>
      </x:c>
      <x:c r="R45" s="58"/>
      <x:c r="S45" s="62" t="n">
        <x:v>0.32</x:v>
      </x:c>
      <x:c r="T45" s="46" t="str">
        <x:v>20 °C / kuru nominal</x:v>
      </x:c>
      <x:c r="U45" s="46" t="str">
        <x:v>DÜŞÜK-ORTA</x:v>
      </x:c>
      <x:c r="V45" s="46" t="str"/>
      <x:c r="W45" s="50" t="str">
        <x:v>Temkinli mühendislik başlangıç değeri; üretici dinamik modül/yoğunluk verisiyle güncellenmelidir.</x:v>
      </x:c>
    </x:row>
    <x:row r="46">
      <x:c r="A46" s="46" t="str">
        <x:v>GB-GYPSUM-FIBRE-15</x:v>
      </x:c>
      <x:c r="B46" s="46" t="str">
        <x:v>Alçı levha</x:v>
      </x:c>
      <x:c r="C46" s="46" t="str">
        <x:v>Alçı lif levha</x:v>
      </x:c>
      <x:c r="D46" s="46" t="str">
        <x:v>GENERIC</x:v>
      </x:c>
      <x:c r="E46" s="46" t="str">
        <x:v>GYPSUM-FIBRE</x:v>
      </x:c>
      <x:c r="F46" s="70" t="str">
        <x:v>ENGINEERING_DEFAULT</x:v>
      </x:c>
      <x:c r="G46" s="54" t="n">
        <x:v>15</x:v>
      </x:c>
      <x:c r="H46" s="54" t="n">
        <x:v>1150</x:v>
      </x:c>
      <x:c r="I46" s="74" t="n">
        <x:f>IF(OR(G46="",H46=""),"",G46/1000*H46)</x:f>
        <x:v>17.25</x:v>
      </x:c>
      <x:c r="J46" s="75" t="n">
        <x:v>3.5</x:v>
      </x:c>
      <x:c r="K46" s="75" t="n">
        <x:v>0.25</x:v>
      </x:c>
      <x:c r="L46" s="75" t="n">
        <x:v>0.025</x:v>
      </x:c>
      <x:c r="M46" s="75" t="n">
        <x:f>IF(OR(J46="",K46=""),"",J46/(2*(1+K46)))</x:f>
        <x:v>1.4</x:v>
      </x:c>
      <x:c r="N46" s="76" t="n">
        <x:f>IF(OR(J46="",H46="",K46=""),"",SQRT(J46*1000000000*(1-K46)/(H46*(1+K46)*(1-2*K46))))</x:f>
        <x:v>1911.0661718118183</x:v>
      </x:c>
      <x:c r="O46" s="75" t="n">
        <x:f>IF(OR(H46="",N46=""),"",H46*N46/1000000)</x:f>
        <x:v>2.197726097583591</x:v>
      </x:c>
      <x:c r="P46" s="74" t="n">
        <x:f>IF(OR(J46="",G46="",K46=""),"",J46*1000000000*(G46/1000)^3/(12*(1-K46^2)))</x:f>
        <x:v>1050</x:v>
      </x:c>
      <x:c r="Q46" s="76" t="n">
        <x:f>IF(OR(I46="",P46=""),"",343.2^2/(2*PI())*SQRT(I46/P46))</x:f>
        <x:v>2402.7832189158034</x:v>
      </x:c>
      <x:c r="R46" s="58"/>
      <x:c r="S46" s="62" t="n">
        <x:v>0.32</x:v>
      </x:c>
      <x:c r="T46" s="46" t="str">
        <x:v>20 °C / kuru nominal</x:v>
      </x:c>
      <x:c r="U46" s="46" t="str">
        <x:v>DÜŞÜK-ORTA</x:v>
      </x:c>
      <x:c r="V46" s="46" t="str"/>
      <x:c r="W46" s="50" t="str">
        <x:v>Temkinli mühendislik başlangıç değeri; üretici dinamik modül/yoğunluk verisiyle güncellenmelidir.</x:v>
      </x:c>
    </x:row>
    <x:row r="47">
      <x:c r="A47" s="46" t="str">
        <x:v>GB-GYPSUM-FIBRE-18</x:v>
      </x:c>
      <x:c r="B47" s="46" t="str">
        <x:v>Alçı levha</x:v>
      </x:c>
      <x:c r="C47" s="46" t="str">
        <x:v>Alçı lif levha</x:v>
      </x:c>
      <x:c r="D47" s="46" t="str">
        <x:v>GENERIC</x:v>
      </x:c>
      <x:c r="E47" s="46" t="str">
        <x:v>GYPSUM-FIBRE</x:v>
      </x:c>
      <x:c r="F47" s="70" t="str">
        <x:v>ENGINEERING_DEFAULT</x:v>
      </x:c>
      <x:c r="G47" s="54" t="n">
        <x:v>18</x:v>
      </x:c>
      <x:c r="H47" s="54" t="n">
        <x:v>1150</x:v>
      </x:c>
      <x:c r="I47" s="74" t="n">
        <x:f>IF(OR(G47="",H47=""),"",G47/1000*H47)</x:f>
        <x:v>20.7</x:v>
      </x:c>
      <x:c r="J47" s="75" t="n">
        <x:v>3.5</x:v>
      </x:c>
      <x:c r="K47" s="75" t="n">
        <x:v>0.25</x:v>
      </x:c>
      <x:c r="L47" s="75" t="n">
        <x:v>0.025</x:v>
      </x:c>
      <x:c r="M47" s="75" t="n">
        <x:f>IF(OR(J47="",K47=""),"",J47/(2*(1+K47)))</x:f>
        <x:v>1.4</x:v>
      </x:c>
      <x:c r="N47" s="76" t="n">
        <x:f>IF(OR(J47="",H47="",K47=""),"",SQRT(J47*1000000000*(1-K47)/(H47*(1+K47)*(1-2*K47))))</x:f>
        <x:v>1911.0661718118183</x:v>
      </x:c>
      <x:c r="O47" s="75" t="n">
        <x:f>IF(OR(H47="",N47=""),"",H47*N47/1000000)</x:f>
        <x:v>2.197726097583591</x:v>
      </x:c>
      <x:c r="P47" s="74" t="n">
        <x:f>IF(OR(J47="",G47="",K47=""),"",J47*1000000000*(G47/1000)^3/(12*(1-K47^2)))</x:f>
        <x:v>1814.3999999999996</x:v>
      </x:c>
      <x:c r="Q47" s="76" t="n">
        <x:f>IF(OR(I47="",P47=""),"",343.2^2/(2*PI())*SQRT(I47/P47))</x:f>
        <x:v>2002.3193490965032</x:v>
      </x:c>
      <x:c r="R47" s="58"/>
      <x:c r="S47" s="62" t="n">
        <x:v>0.32</x:v>
      </x:c>
      <x:c r="T47" s="46" t="str">
        <x:v>20 °C / kuru nominal</x:v>
      </x:c>
      <x:c r="U47" s="46" t="str">
        <x:v>DÜŞÜK-ORTA</x:v>
      </x:c>
      <x:c r="V47" s="46" t="str"/>
      <x:c r="W47" s="50" t="str">
        <x:v>Temkinli mühendislik başlangıç değeri; üretici dinamik modül/yoğunluk verisiyle güncellenmelidir.</x:v>
      </x:c>
    </x:row>
    <x:row r="48">
      <x:c r="A48" s="46" t="str">
        <x:v>GB-GLASS-MAT-12p5</x:v>
      </x:c>
      <x:c r="B48" s="46" t="str">
        <x:v>Alçı levha</x:v>
      </x:c>
      <x:c r="C48" s="46" t="str">
        <x:v>Cam elyaf kaplı dış cephe alçı levhası</x:v>
      </x:c>
      <x:c r="D48" s="46" t="str">
        <x:v>GENERIC</x:v>
      </x:c>
      <x:c r="E48" s="46" t="str">
        <x:v>GLASS-MAT</x:v>
      </x:c>
      <x:c r="F48" s="70" t="str">
        <x:v>ENGINEERING_DEFAULT</x:v>
      </x:c>
      <x:c r="G48" s="54" t="n">
        <x:v>12.5</x:v>
      </x:c>
      <x:c r="H48" s="54" t="n">
        <x:v>850</x:v>
      </x:c>
      <x:c r="I48" s="74" t="n">
        <x:f>IF(OR(G48="",H48=""),"",G48/1000*H48)</x:f>
        <x:v>10.625</x:v>
      </x:c>
      <x:c r="J48" s="75" t="n">
        <x:v>3</x:v>
      </x:c>
      <x:c r="K48" s="75" t="n">
        <x:v>0.24</x:v>
      </x:c>
      <x:c r="L48" s="75" t="n">
        <x:v>0.025</x:v>
      </x:c>
      <x:c r="M48" s="75" t="n">
        <x:f>IF(OR(J48="",K48=""),"",J48/(2*(1+K48)))</x:f>
        <x:v>1.2096774193548387</x:v>
      </x:c>
      <x:c r="N48" s="76" t="n">
        <x:f>IF(OR(J48="",H48="",K48=""),"",SQRT(J48*1000000000*(1-K48)/(H48*(1+K48)*(1-2*K48))))</x:f>
        <x:v>2039.6020802463274</x:v>
      </x:c>
      <x:c r="O48" s="75" t="n">
        <x:f>IF(OR(H48="",N48=""),"",H48*N48/1000000)</x:f>
        <x:v>1.7336617682093782</x:v>
      </x:c>
      <x:c r="P48" s="74" t="n">
        <x:f>IF(OR(J48="",G48="",K48=""),"",J48*1000000000*(G48/1000)^3/(12*(1-K48^2)))</x:f>
        <x:v>518.125265280136</x:v>
      </x:c>
      <x:c r="Q48" s="76" t="n">
        <x:f>IF(OR(I48="",P48=""),"",343.2^2/(2*PI())*SQRT(I48/P48))</x:f>
        <x:v>2684.4898993623606</x:v>
      </x:c>
      <x:c r="R48" s="58"/>
      <x:c r="S48" s="62" t="n">
        <x:v>0.3</x:v>
      </x:c>
      <x:c r="T48" s="46" t="str">
        <x:v>20 °C / kuru nominal</x:v>
      </x:c>
      <x:c r="U48" s="46" t="str">
        <x:v>DÜŞÜK-ORTA</x:v>
      </x:c>
      <x:c r="V48" s="46" t="str"/>
      <x:c r="W48" s="50" t="str">
        <x:v>Temkinli mühendislik başlangıç değeri; üretici dinamik modül/yoğunluk verisiyle güncellenmelidir.</x:v>
      </x:c>
    </x:row>
    <x:row r="49">
      <x:c r="A49" s="46" t="str">
        <x:v>GB-GLASS-MAT-15</x:v>
      </x:c>
      <x:c r="B49" s="46" t="str">
        <x:v>Alçı levha</x:v>
      </x:c>
      <x:c r="C49" s="46" t="str">
        <x:v>Cam elyaf kaplı dış cephe alçı levhası</x:v>
      </x:c>
      <x:c r="D49" s="46" t="str">
        <x:v>GENERIC</x:v>
      </x:c>
      <x:c r="E49" s="46" t="str">
        <x:v>GLASS-MAT</x:v>
      </x:c>
      <x:c r="F49" s="70" t="str">
        <x:v>ENGINEERING_DEFAULT</x:v>
      </x:c>
      <x:c r="G49" s="54" t="n">
        <x:v>15</x:v>
      </x:c>
      <x:c r="H49" s="54" t="n">
        <x:v>850</x:v>
      </x:c>
      <x:c r="I49" s="74" t="n">
        <x:f>IF(OR(G49="",H49=""),"",G49/1000*H49)</x:f>
        <x:v>12.75</x:v>
      </x:c>
      <x:c r="J49" s="75" t="n">
        <x:v>3</x:v>
      </x:c>
      <x:c r="K49" s="75" t="n">
        <x:v>0.24</x:v>
      </x:c>
      <x:c r="L49" s="75" t="n">
        <x:v>0.025</x:v>
      </x:c>
      <x:c r="M49" s="75" t="n">
        <x:f>IF(OR(J49="",K49=""),"",J49/(2*(1+K49)))</x:f>
        <x:v>1.2096774193548387</x:v>
      </x:c>
      <x:c r="N49" s="76" t="n">
        <x:f>IF(OR(J49="",H49="",K49=""),"",SQRT(J49*1000000000*(1-K49)/(H49*(1+K49)*(1-2*K49))))</x:f>
        <x:v>2039.6020802463274</x:v>
      </x:c>
      <x:c r="O49" s="75" t="n">
        <x:f>IF(OR(H49="",N49=""),"",H49*N49/1000000)</x:f>
        <x:v>1.7336617682093782</x:v>
      </x:c>
      <x:c r="P49" s="74" t="n">
        <x:f>IF(OR(J49="",G49="",K49=""),"",J49*1000000000*(G49/1000)^3/(12*(1-K49^2)))</x:f>
        <x:v>895.3204584040748</x:v>
      </x:c>
      <x:c r="Q49" s="76" t="n">
        <x:f>IF(OR(I49="",P49=""),"",343.2^2/(2*PI())*SQRT(I49/P49))</x:f>
        <x:v>2237.0749161353006</x:v>
      </x:c>
      <x:c r="R49" s="58"/>
      <x:c r="S49" s="62" t="n">
        <x:v>0.3</x:v>
      </x:c>
      <x:c r="T49" s="46" t="str">
        <x:v>20 °C / kuru nominal</x:v>
      </x:c>
      <x:c r="U49" s="46" t="str">
        <x:v>DÜŞÜK-ORTA</x:v>
      </x:c>
      <x:c r="V49" s="46" t="str"/>
      <x:c r="W49" s="50" t="str">
        <x:v>Temkinli mühendislik başlangıç değeri; üretici dinamik modül/yoğunluk verisiyle güncellenmelidir.</x:v>
      </x:c>
    </x:row>
    <x:row r="50">
      <x:c r="A50" s="46" t="str">
        <x:v>GB-SHAFTLINER-19</x:v>
      </x:c>
      <x:c r="B50" s="46" t="str">
        <x:v>Alçı levha</x:v>
      </x:c>
      <x:c r="C50" s="46" t="str">
        <x:v>Şaft levhası / kalın çekirdek</x:v>
      </x:c>
      <x:c r="D50" s="46" t="str">
        <x:v>GENERIC</x:v>
      </x:c>
      <x:c r="E50" s="46" t="str">
        <x:v>SHAFTLINER</x:v>
      </x:c>
      <x:c r="F50" s="70" t="str">
        <x:v>ENGINEERING_DEFAULT</x:v>
      </x:c>
      <x:c r="G50" s="54" t="n">
        <x:v>19</x:v>
      </x:c>
      <x:c r="H50" s="54" t="n">
        <x:v>900</x:v>
      </x:c>
      <x:c r="I50" s="74" t="n">
        <x:f>IF(OR(G50="",H50=""),"",G50/1000*H50)</x:f>
        <x:v>17.099999999999998</x:v>
      </x:c>
      <x:c r="J50" s="75" t="n">
        <x:v>3.2</x:v>
      </x:c>
      <x:c r="K50" s="75" t="n">
        <x:v>0.25</x:v>
      </x:c>
      <x:c r="L50" s="75" t="n">
        <x:v>0.02</x:v>
      </x:c>
      <x:c r="M50" s="75" t="n">
        <x:f>IF(OR(J50="",K50=""),"",J50/(2*(1+K50)))</x:f>
        <x:v>1.28</x:v>
      </x:c>
      <x:c r="N50" s="76" t="n">
        <x:f>IF(OR(J50="",H50="",K50=""),"",SQRT(J50*1000000000*(1-K50)/(H50*(1+K50)*(1-2*K50))))</x:f>
        <x:v>2065.5911179772893</x:v>
      </x:c>
      <x:c r="O50" s="75" t="n">
        <x:f>IF(OR(H50="",N50=""),"",H50*N50/1000000)</x:f>
        <x:v>1.8590320061795604</x:v>
      </x:c>
      <x:c r="P50" s="74" t="n">
        <x:f>IF(OR(J50="",G50="",K50=""),"",J50*1000000000*(G50/1000)^3/(12*(1-K50^2)))</x:f>
        <x:v>1951.0044444444443</x:v>
      </x:c>
      <x:c r="Q50" s="76" t="n">
        <x:f>IF(OR(I50="",P50=""),"",343.2^2/(2*PI())*SQRT(I50/P50))</x:f>
        <x:v>1755.026246827307</x:v>
      </x:c>
      <x:c r="R50" s="58"/>
      <x:c r="S50" s="62" t="n">
        <x:v>0.28</x:v>
      </x:c>
      <x:c r="T50" s="46" t="str">
        <x:v>20 °C / kuru nominal</x:v>
      </x:c>
      <x:c r="U50" s="46" t="str">
        <x:v>DÜŞÜK-ORTA</x:v>
      </x:c>
      <x:c r="V50" s="46" t="str"/>
      <x:c r="W50" s="50" t="str">
        <x:v>Temkinli mühendislik başlangıç değeri; üretici dinamik modül/yoğunluk verisiyle güncellenmelidir.</x:v>
      </x:c>
    </x:row>
    <x:row r="51">
      <x:c r="A51" s="46" t="str">
        <x:v>GB-SHAFTLINER-25</x:v>
      </x:c>
      <x:c r="B51" s="46" t="str">
        <x:v>Alçı levha</x:v>
      </x:c>
      <x:c r="C51" s="46" t="str">
        <x:v>Şaft levhası / kalın çekirdek</x:v>
      </x:c>
      <x:c r="D51" s="46" t="str">
        <x:v>GENERIC</x:v>
      </x:c>
      <x:c r="E51" s="46" t="str">
        <x:v>SHAFTLINER</x:v>
      </x:c>
      <x:c r="F51" s="70" t="str">
        <x:v>ENGINEERING_DEFAULT</x:v>
      </x:c>
      <x:c r="G51" s="54" t="n">
        <x:v>25</x:v>
      </x:c>
      <x:c r="H51" s="54" t="n">
        <x:v>900</x:v>
      </x:c>
      <x:c r="I51" s="74" t="n">
        <x:f>IF(OR(G51="",H51=""),"",G51/1000*H51)</x:f>
        <x:v>22.5</x:v>
      </x:c>
      <x:c r="J51" s="75" t="n">
        <x:v>3.2</x:v>
      </x:c>
      <x:c r="K51" s="75" t="n">
        <x:v>0.25</x:v>
      </x:c>
      <x:c r="L51" s="75" t="n">
        <x:v>0.02</x:v>
      </x:c>
      <x:c r="M51" s="75" t="n">
        <x:f>IF(OR(J51="",K51=""),"",J51/(2*(1+K51)))</x:f>
        <x:v>1.28</x:v>
      </x:c>
      <x:c r="N51" s="76" t="n">
        <x:f>IF(OR(J51="",H51="",K51=""),"",SQRT(J51*1000000000*(1-K51)/(H51*(1+K51)*(1-2*K51))))</x:f>
        <x:v>2065.5911179772893</x:v>
      </x:c>
      <x:c r="O51" s="75" t="n">
        <x:f>IF(OR(H51="",N51=""),"",H51*N51/1000000)</x:f>
        <x:v>1.8590320061795604</x:v>
      </x:c>
      <x:c r="P51" s="74" t="n">
        <x:f>IF(OR(J51="",G51="",K51=""),"",J51*1000000000*(G51/1000)^3/(12*(1-K51^2)))</x:f>
        <x:v>4444.444444444446</x:v>
      </x:c>
      <x:c r="Q51" s="76" t="n">
        <x:f>IF(OR(I51="",P51=""),"",343.2^2/(2*PI())*SQRT(I51/P51))</x:f>
        <x:v>1333.8199475887532</x:v>
      </x:c>
      <x:c r="R51" s="58"/>
      <x:c r="S51" s="62" t="n">
        <x:v>0.28</x:v>
      </x:c>
      <x:c r="T51" s="46" t="str">
        <x:v>20 °C / kuru nominal</x:v>
      </x:c>
      <x:c r="U51" s="46" t="str">
        <x:v>DÜŞÜK-ORTA</x:v>
      </x:c>
      <x:c r="V51" s="46" t="str"/>
      <x:c r="W51" s="50" t="str">
        <x:v>Temkinli mühendislik başlangıç değeri; üretici dinamik modül/yoğunluk verisiyle güncellenmelidir.</x:v>
      </x:c>
    </x:row>
    <x:row r="52">
      <x:c r="A52" s="46" t="str">
        <x:v>GB-PERFORATED-12p5</x:v>
      </x:c>
      <x:c r="B52" s="46" t="str">
        <x:v>Alçı levha</x:v>
      </x:c>
      <x:c r="C52" s="46" t="str">
        <x:v>Delikli akustik alçı levha</x:v>
      </x:c>
      <x:c r="D52" s="46" t="str">
        <x:v>GENERIC</x:v>
      </x:c>
      <x:c r="E52" s="46" t="str">
        <x:v>PERFORATED</x:v>
      </x:c>
      <x:c r="F52" s="70" t="str">
        <x:v>ENGINEERING_DEFAULT</x:v>
      </x:c>
      <x:c r="G52" s="54" t="n">
        <x:v>12.5</x:v>
      </x:c>
      <x:c r="H52" s="54" t="n">
        <x:v>700</x:v>
      </x:c>
      <x:c r="I52" s="74" t="n">
        <x:f>IF(OR(G52="",H52=""),"",G52/1000*H52)</x:f>
        <x:v>8.75</x:v>
      </x:c>
      <x:c r="J52" s="75" t="n">
        <x:v>2.5</x:v>
      </x:c>
      <x:c r="K52" s="75" t="n">
        <x:v>0.25</x:v>
      </x:c>
      <x:c r="L52" s="75" t="n">
        <x:v>0.025</x:v>
      </x:c>
      <x:c r="M52" s="75" t="n">
        <x:f>IF(OR(J52="",K52=""),"",J52/(2*(1+K52)))</x:f>
        <x:v>1</x:v>
      </x:c>
      <x:c r="N52" s="76" t="n">
        <x:f>IF(OR(J52="",H52="",K52=""),"",SQRT(J52*1000000000*(1-K52)/(H52*(1+K52)*(1-2*K52))))</x:f>
        <x:v>2070.1966780270627</x:v>
      </x:c>
      <x:c r="O52" s="75" t="n">
        <x:f>IF(OR(H52="",N52=""),"",H52*N52/1000000)</x:f>
        <x:v>1.4491376746189437</x:v>
      </x:c>
      <x:c r="P52" s="74" t="n">
        <x:f>IF(OR(J52="",G52="",K52=""),"",J52*1000000000*(G52/1000)^3/(12*(1-K52^2)))</x:f>
        <x:v>434.0277777777779</x:v>
      </x:c>
      <x:c r="Q52" s="76" t="n">
        <x:f>IF(OR(I52="",P52=""),"",343.2^2/(2*PI())*SQRT(I52/P52))</x:f>
        <x:v>2661.705205078341</x:v>
      </x:c>
      <x:c r="R52" s="58"/>
      <x:c r="S52" s="62" t="n">
        <x:v>0.25</x:v>
      </x:c>
      <x:c r="T52" s="46" t="str">
        <x:v>20 °C / kuru nominal</x:v>
      </x:c>
      <x:c r="U52" s="46" t="str">
        <x:v>DÜŞÜK-ORTA</x:v>
      </x:c>
      <x:c r="V52" s="46" t="str"/>
      <x:c r="W52" s="50" t="str">
        <x:v>EN sınıfı malzeme davranışını tek başına belirlemez; değerler hesap başlangıcı içindir. Delikli levhada net katı alan ve perforasyon oranı ayrıca modellenmelidir.</x:v>
      </x:c>
    </x:row>
    <x:row r="53">
      <x:c r="A53" s="46" t="str">
        <x:v>GB-IMPACT-12p5</x:v>
      </x:c>
      <x:c r="B53" s="46" t="str">
        <x:v>Alçı levha</x:v>
      </x:c>
      <x:c r="C53" s="46" t="str">
        <x:v>Darbe dayanımlı alçı levha</x:v>
      </x:c>
      <x:c r="D53" s="46" t="str">
        <x:v>GENERIC</x:v>
      </x:c>
      <x:c r="E53" s="46" t="str">
        <x:v>IMPACT</x:v>
      </x:c>
      <x:c r="F53" s="70" t="str">
        <x:v>ENGINEERING_DEFAULT</x:v>
      </x:c>
      <x:c r="G53" s="54" t="n">
        <x:v>12.5</x:v>
      </x:c>
      <x:c r="H53" s="54" t="n">
        <x:v>1100</x:v>
      </x:c>
      <x:c r="I53" s="74" t="n">
        <x:f>IF(OR(G53="",H53=""),"",G53/1000*H53)</x:f>
        <x:v>13.75</x:v>
      </x:c>
      <x:c r="J53" s="75" t="n">
        <x:v>4</x:v>
      </x:c>
      <x:c r="K53" s="75" t="n">
        <x:v>0.25</x:v>
      </x:c>
      <x:c r="L53" s="75" t="n">
        <x:v>0.02</x:v>
      </x:c>
      <x:c r="M53" s="75" t="n">
        <x:f>IF(OR(J53="",K53=""),"",J53/(2*(1+K53)))</x:f>
        <x:v>1.6</x:v>
      </x:c>
      <x:c r="N53" s="76" t="n">
        <x:f>IF(OR(J53="",H53="",K53=""),"",SQRT(J53*1000000000*(1-K53)/(H53*(1+K53)*(1-2*K53))))</x:f>
        <x:v>2088.931871468374</x:v>
      </x:c>
      <x:c r="O53" s="75" t="n">
        <x:f>IF(OR(H53="",N53=""),"",H53*N53/1000000)</x:f>
        <x:v>2.2978250586152114</x:v>
      </x:c>
      <x:c r="P53" s="74" t="n">
        <x:f>IF(OR(J53="",G53="",K53=""),"",J53*1000000000*(G53/1000)^3/(12*(1-K53^2)))</x:f>
        <x:v>694.4444444444446</x:v>
      </x:c>
      <x:c r="Q53" s="76" t="n">
        <x:f>IF(OR(I53="",P53=""),"",343.2^2/(2*PI())*SQRT(I53/P53))</x:f>
        <x:v>2637.832927297527</x:v>
      </x:c>
      <x:c r="R53" s="58"/>
      <x:c r="S53" s="62" t="n">
        <x:v>0.3</x:v>
      </x:c>
      <x:c r="T53" s="46" t="str">
        <x:v>20 °C / kuru nominal</x:v>
      </x:c>
      <x:c r="U53" s="46" t="str">
        <x:v>DÜŞÜK-ORTA</x:v>
      </x:c>
      <x:c r="V53" s="46" t="str"/>
      <x:c r="W53" s="50" t="str">
        <x:v>Temkinli mühendislik başlangıç değeri; üretici dinamik modül/yoğunluk verisiyle güncellenmelidir.</x:v>
      </x:c>
    </x:row>
    <x:row r="54">
      <x:c r="A54" s="46" t="str">
        <x:v>GB-IMPACT-15</x:v>
      </x:c>
      <x:c r="B54" s="46" t="str">
        <x:v>Alçı levha</x:v>
      </x:c>
      <x:c r="C54" s="46" t="str">
        <x:v>Darbe dayanımlı alçı levha</x:v>
      </x:c>
      <x:c r="D54" s="46" t="str">
        <x:v>GENERIC</x:v>
      </x:c>
      <x:c r="E54" s="46" t="str">
        <x:v>IMPACT</x:v>
      </x:c>
      <x:c r="F54" s="70" t="str">
        <x:v>ENGINEERING_DEFAULT</x:v>
      </x:c>
      <x:c r="G54" s="54" t="n">
        <x:v>15</x:v>
      </x:c>
      <x:c r="H54" s="54" t="n">
        <x:v>1100</x:v>
      </x:c>
      <x:c r="I54" s="74" t="n">
        <x:f>IF(OR(G54="",H54=""),"",G54/1000*H54)</x:f>
        <x:v>16.5</x:v>
      </x:c>
      <x:c r="J54" s="75" t="n">
        <x:v>4</x:v>
      </x:c>
      <x:c r="K54" s="75" t="n">
        <x:v>0.25</x:v>
      </x:c>
      <x:c r="L54" s="75" t="n">
        <x:v>0.02</x:v>
      </x:c>
      <x:c r="M54" s="75" t="n">
        <x:f>IF(OR(J54="",K54=""),"",J54/(2*(1+K54)))</x:f>
        <x:v>1.6</x:v>
      </x:c>
      <x:c r="N54" s="76" t="n">
        <x:f>IF(OR(J54="",H54="",K54=""),"",SQRT(J54*1000000000*(1-K54)/(H54*(1+K54)*(1-2*K54))))</x:f>
        <x:v>2088.931871468374</x:v>
      </x:c>
      <x:c r="O54" s="75" t="n">
        <x:f>IF(OR(H54="",N54=""),"",H54*N54/1000000)</x:f>
        <x:v>2.2978250586152114</x:v>
      </x:c>
      <x:c r="P54" s="74" t="n">
        <x:f>IF(OR(J54="",G54="",K54=""),"",J54*1000000000*(G54/1000)^3/(12*(1-K54^2)))</x:f>
        <x:v>1200</x:v>
      </x:c>
      <x:c r="Q54" s="76" t="n">
        <x:f>IF(OR(I54="",P54=""),"",343.2^2/(2*PI())*SQRT(I54/P54))</x:f>
        <x:v>2198.1941060812733</x:v>
      </x:c>
      <x:c r="R54" s="58"/>
      <x:c r="S54" s="62" t="n">
        <x:v>0.3</x:v>
      </x:c>
      <x:c r="T54" s="46" t="str">
        <x:v>20 °C / kuru nominal</x:v>
      </x:c>
      <x:c r="U54" s="46" t="str">
        <x:v>DÜŞÜK-ORTA</x:v>
      </x:c>
      <x:c r="V54" s="46" t="str"/>
      <x:c r="W54" s="50" t="str">
        <x:v>Temkinli mühendislik başlangıç değeri; üretici dinamik modül/yoğunluk verisiyle güncellenmelidir.</x:v>
      </x:c>
    </x:row>
    <x:row r="55">
      <x:c r="A55" s="46" t="str">
        <x:v>GB-KNAUF-SILENTBOARD-12p5</x:v>
      </x:c>
      <x:c r="B55" s="46" t="str">
        <x:v>Alçı levha</x:v>
      </x:c>
      <x:c r="C55" s="46" t="str">
        <x:v>Çok yüksek yoğunluklu akustik levha</x:v>
      </x:c>
      <x:c r="D55" s="46" t="str">
        <x:v>Knauf</x:v>
      </x:c>
      <x:c r="E55" s="46" t="str">
        <x:v>Silentboard</x:v>
      </x:c>
      <x:c r="F55" s="70" t="str">
        <x:v>MANUFACTURER_VERIFIED</x:v>
      </x:c>
      <x:c r="G55" s="54" t="n">
        <x:v>12.5</x:v>
      </x:c>
      <x:c r="H55" s="54" t="n">
        <x:v>1400</x:v>
      </x:c>
      <x:c r="I55" s="74" t="n">
        <x:f>IF(OR(G55="",H55=""),"",G55/1000*H55)</x:f>
        <x:v>17.5</x:v>
      </x:c>
      <x:c r="J55" s="75" t="n">
        <x:v>3.8</x:v>
      </x:c>
      <x:c r="K55" s="75" t="n">
        <x:v>0.25</x:v>
      </x:c>
      <x:c r="L55" s="75" t="n">
        <x:v>0.022</x:v>
      </x:c>
      <x:c r="M55" s="75" t="n">
        <x:f>IF(OR(J55="",K55=""),"",J55/(2*(1+K55)))</x:f>
        <x:v>1.52</x:v>
      </x:c>
      <x:c r="N55" s="76" t="n">
        <x:f>IF(OR(J55="",H55="",K55=""),"",SQRT(J55*1000000000*(1-K55)/(H55*(1+K55)*(1-2*K55))))</x:f>
        <x:v>1804.755622554715</x:v>
      </x:c>
      <x:c r="O55" s="75" t="n">
        <x:f>IF(OR(H55="",N55=""),"",H55*N55/1000000)</x:f>
        <x:v>2.5266578715766013</x:v>
      </x:c>
      <x:c r="P55" s="74" t="n">
        <x:f>IF(OR(J55="",G55="",K55=""),"",J55*1000000000*(G55/1000)^3/(12*(1-K55^2)))</x:f>
        <x:v>659.7222222222224</x:v>
      </x:c>
      <x:c r="Q55" s="76" t="n">
        <x:f>IF(OR(I55="",P55=""),"",343.2^2/(2*PI())*SQRT(I55/P55))</x:f>
        <x:v>3053.185264850709</x:v>
      </x:c>
      <x:c r="R55" s="58"/>
      <x:c r="S55" s="62" t="n">
        <x:v>0.26</x:v>
      </x:c>
      <x:c r="T55" s="46" t="str">
        <x:v>20 °C / kuru nominal</x:v>
      </x:c>
      <x:c r="U55" s="46" t="str">
        <x:v>YÜKSEK (ρ,d,m') / DÜŞÜK (E,η)</x:v>
      </x:c>
      <x:c r="V55" s="46" t="str">
        <x:v>https://knauf.com/api/download-center/v1/assets/f6bf55f0-43da-4357-9ed6-b285dca04ac6?download=true</x:v>
      </x:c>
      <x:c r="W55" s="50" t="str">
        <x:v>Üretici: d=12.5 mm, ρ≥1400 kg/m³, m'≈17.5 kg/m², λ=0.26 W/mK. E ve η mühendislik varsayımıdır.</x:v>
      </x:c>
    </x:row>
    <x:row r="56">
      <x:c r="A56" s="46" t="str">
        <x:v>GB-BG-SOUNDBLOC-12p5</x:v>
      </x:c>
      <x:c r="B56" s="46" t="str">
        <x:v>Alçı levha</x:v>
      </x:c>
      <x:c r="C56" s="46" t="str">
        <x:v>Akustik alçı levha</x:v>
      </x:c>
      <x:c r="D56" s="46" t="str">
        <x:v>British Gypsum</x:v>
      </x:c>
      <x:c r="E56" s="46" t="str">
        <x:v>Gyproc SoundBloc 12.5 mm</x:v>
      </x:c>
      <x:c r="F56" s="70" t="str">
        <x:v>MANUFACTURER_VERIFIED_DERIVED</x:v>
      </x:c>
      <x:c r="G56" s="54" t="n">
        <x:v>12.5</x:v>
      </x:c>
      <x:c r="H56" s="54" t="n">
        <x:v>824</x:v>
      </x:c>
      <x:c r="I56" s="74" t="n">
        <x:f>IF(OR(G56="",H56=""),"",G56/1000*H56)</x:f>
        <x:v>10.3</x:v>
      </x:c>
      <x:c r="J56" s="75" t="n">
        <x:v>3.5</x:v>
      </x:c>
      <x:c r="K56" s="75" t="n">
        <x:v>0.25</x:v>
      </x:c>
      <x:c r="L56" s="75" t="n">
        <x:v>0.02</x:v>
      </x:c>
      <x:c r="M56" s="75" t="n">
        <x:f>IF(OR(J56="",K56=""),"",J56/(2*(1+K56)))</x:f>
        <x:v>1.4</x:v>
      </x:c>
      <x:c r="N56" s="76" t="n">
        <x:f>IF(OR(J56="",H56="",K56=""),"",SQRT(J56*1000000000*(1-K56)/(H56*(1+K56)*(1-2*K56))))</x:f>
        <x:v>2257.673000822036</x:v>
      </x:c>
      <x:c r="O56" s="75" t="n">
        <x:f>IF(OR(H56="",N56=""),"",H56*N56/1000000)</x:f>
        <x:v>1.860322552677358</x:v>
      </x:c>
      <x:c r="P56" s="74" t="n">
        <x:f>IF(OR(J56="",G56="",K56=""),"",J56*1000000000*(G56/1000)^3/(12*(1-K56^2)))</x:f>
        <x:v>607.638888888889</x:v>
      </x:c>
      <x:c r="Q56" s="76" t="n">
        <x:f>IF(OR(I56="",P56=""),"",343.2^2/(2*PI())*SQRT(I56/P56))</x:f>
        <x:v>2440.678198939438</x:v>
      </x:c>
      <x:c r="R56" s="58"/>
      <x:c r="S56" s="62" t="n">
        <x:v>0.25</x:v>
      </x:c>
      <x:c r="T56" s="46" t="str">
        <x:v>20 °C / kuru nominal</x:v>
      </x:c>
      <x:c r="U56" s="46" t="str">
        <x:v>YÜKSEK (d,m') / ORTA (ρ türetilmiş)</x:v>
      </x:c>
      <x:c r="V56" s="46" t="str">
        <x:v>https://www.british-gypsum.com/documents/product-data-sheet-pds/british-gypsum-pds-gyproc-soundbloc-12-5mm.pdf</x:v>
      </x:c>
      <x:c r="W56" s="50" t="str">
        <x:v>Üretici min. m'=10.3 kg/m²; ρ=10.3/0.0125=824 kg/m³ olarak türetilmiştir. E ve η varsayımdır.</x:v>
      </x:c>
    </x:row>
    <x:row r="57">
      <x:c r="A57" s="46" t="str">
        <x:v>GB-BG-SOUNDBLOC-15</x:v>
      </x:c>
      <x:c r="B57" s="46" t="str">
        <x:v>Alçı levha</x:v>
      </x:c>
      <x:c r="C57" s="46" t="str">
        <x:v>Akustik alçı levha</x:v>
      </x:c>
      <x:c r="D57" s="46" t="str">
        <x:v>British Gypsum</x:v>
      </x:c>
      <x:c r="E57" s="46" t="str">
        <x:v>Gyproc SoundBloc 15 mm</x:v>
      </x:c>
      <x:c r="F57" s="70" t="str">
        <x:v>EPD_VERIFIED_DERIVED</x:v>
      </x:c>
      <x:c r="G57" s="54" t="n">
        <x:v>15</x:v>
      </x:c>
      <x:c r="H57" s="54" t="n">
        <x:v>933.3</x:v>
      </x:c>
      <x:c r="I57" s="74" t="n">
        <x:f>IF(OR(G57="",H57=""),"",G57/1000*H57)</x:f>
        <x:v>13.9995</x:v>
      </x:c>
      <x:c r="J57" s="75" t="n">
        <x:v>3.5</x:v>
      </x:c>
      <x:c r="K57" s="75" t="n">
        <x:v>0.25</x:v>
      </x:c>
      <x:c r="L57" s="75" t="n">
        <x:v>0.02</x:v>
      </x:c>
      <x:c r="M57" s="75" t="n">
        <x:f>IF(OR(J57="",K57=""),"",J57/(2*(1+K57)))</x:f>
        <x:v>1.4</x:v>
      </x:c>
      <x:c r="N57" s="76" t="n">
        <x:f>IF(OR(J57="",H57="",K57=""),"",SQRT(J57*1000000000*(1-K57)/(H57*(1+K57)*(1-2*K57))))</x:f>
        <x:v>2121.358225294756</x:v>
      </x:c>
      <x:c r="O57" s="75" t="n">
        <x:f>IF(OR(H57="",N57=""),"",H57*N57/1000000)</x:f>
        <x:v>1.9798636316675955</x:v>
      </x:c>
      <x:c r="P57" s="74" t="n">
        <x:f>IF(OR(J57="",G57="",K57=""),"",J57*1000000000*(G57/1000)^3/(12*(1-K57^2)))</x:f>
        <x:v>1050</x:v>
      </x:c>
      <x:c r="Q57" s="76" t="n">
        <x:f>IF(OR(I57="",P57=""),"",343.2^2/(2*PI())*SQRT(I57/P57))</x:f>
        <x:v>2164.593265349645</x:v>
      </x:c>
      <x:c r="R57" s="58"/>
      <x:c r="S57" s="62" t="n">
        <x:v>0.25</x:v>
      </x:c>
      <x:c r="T57" s="46" t="str">
        <x:v>20 °C / kuru nominal</x:v>
      </x:c>
      <x:c r="U57" s="46" t="str">
        <x:v>YÜKSEK (d,m') / ORTA (ρ türetilmiş)</x:v>
      </x:c>
      <x:c r="V57" s="46" t="str">
        <x:v>https://www.british-gypsum.com/documents/environmental-product-declaration-epd/british-gypsum-epd-gyproc-soundbloc-15mm.pdf</x:v>
      </x:c>
      <x:c r="W57" s="50" t="str">
        <x:v>EPD nominal m'=14.0 kg/m² (tipik gerçek 13.6–14.8); ρ nominal m'/d ile türetilmiştir.</x:v>
      </x:c>
    </x:row>
    <x:row r="58">
      <x:c r="A58" s="46" t="str">
        <x:v>AAC-D300-T50</x:v>
      </x:c>
      <x:c r="B58" s="46" t="str">
        <x:v>AAC / Gazbeton</x:v>
      </x:c>
      <x:c r="C58" s="46" t="str">
        <x:v>Nominal kuru yoğunluk sınıfı 300 kg/m³</x:v>
      </x:c>
      <x:c r="D58" s="46" t="str">
        <x:v>GENERIC</x:v>
      </x:c>
      <x:c r="E58" s="46" t="str">
        <x:v>AAC D300</x:v>
      </x:c>
      <x:c r="F58" s="70" t="str">
        <x:v>RANGE_ANCHORED_ENGINEERING</x:v>
      </x:c>
      <x:c r="G58" s="54" t="n">
        <x:v>50</x:v>
      </x:c>
      <x:c r="H58" s="54" t="n">
        <x:v>300</x:v>
      </x:c>
      <x:c r="I58" s="74" t="n">
        <x:f>IF(OR(G58="",H58=""),"",G58/1000*H58)</x:f>
        <x:v>15</x:v>
      </x:c>
      <x:c r="J58" s="75" t="n">
        <x:v>0.75</x:v>
      </x:c>
      <x:c r="K58" s="75" t="n">
        <x:v>0.2</x:v>
      </x:c>
      <x:c r="L58" s="75" t="n">
        <x:v>0.025</x:v>
      </x:c>
      <x:c r="M58" s="75" t="n">
        <x:f>IF(OR(J58="",K58=""),"",J58/(2*(1+K58)))</x:f>
        <x:v>0.3125</x:v>
      </x:c>
      <x:c r="N58" s="76" t="n">
        <x:f>IF(OR(J58="",H58="",K58=""),"",SQRT(J58*1000000000*(1-K58)/(H58*(1+K58)*(1-2*K58))))</x:f>
        <x:v>1666.6666666666667</x:v>
      </x:c>
      <x:c r="O58" s="75" t="n">
        <x:f>IF(OR(H58="",N58=""),"",H58*N58/1000000)</x:f>
        <x:v>0.5</x:v>
      </x:c>
      <x:c r="P58" s="74" t="n">
        <x:f>IF(OR(J58="",G58="",K58=""),"",J58*1000000000*(G58/1000)^3/(12*(1-K58^2)))</x:f>
        <x:v>8138.020833333336</x:v>
      </x:c>
      <x:c r="Q58" s="76" t="n">
        <x:f>IF(OR(I58="",P58=""),"",343.2^2/(2*PI())*SQRT(I58/P58))</x:f>
        <x:v>804.8240041146818</x:v>
      </x:c>
      <x:c r="R58" s="58" t="n">
        <x:v>2.2</x:v>
      </x:c>
      <x:c r="S58" s="62" t="n">
        <x:v>0.07</x:v>
      </x:c>
      <x:c r="T58" s="46" t="str">
        <x:v>20 °C / kuru nominal</x:v>
      </x:c>
      <x:c r="U58" s="46" t="str">
        <x:v>ORTA</x:v>
      </x:c>
      <x:c r="V58" s="46" t="str">
        <x:v>https://storefrontapi.commerce.xella.com/occ/v2/at/catalogs/atContentCatalog/versions/Online/xellamedia/Ytong-BAU-EPD-Porenbetonsteine.pdf</x:v>
      </x:c>
      <x:c r="W58" s="50" t="str">
        <x:v>Xella EPD aralığına oturtulmuş nominal sınıf: ρ=300–650 kg/m³, E≈750–3250 MPa, basınç dayanımı≈2.2–6.5 MPa. Gerçek ürün sınıfı ve nem için doğrulayın.</x:v>
      </x:c>
    </x:row>
    <x:row r="59">
      <x:c r="A59" s="46" t="str">
        <x:v>AAC-D300-T75</x:v>
      </x:c>
      <x:c r="B59" s="46" t="str">
        <x:v>AAC / Gazbeton</x:v>
      </x:c>
      <x:c r="C59" s="46" t="str">
        <x:v>Nominal kuru yoğunluk sınıfı 300 kg/m³</x:v>
      </x:c>
      <x:c r="D59" s="46" t="str">
        <x:v>GENERIC</x:v>
      </x:c>
      <x:c r="E59" s="46" t="str">
        <x:v>AAC D300</x:v>
      </x:c>
      <x:c r="F59" s="70" t="str">
        <x:v>RANGE_ANCHORED_ENGINEERING</x:v>
      </x:c>
      <x:c r="G59" s="54" t="n">
        <x:v>75</x:v>
      </x:c>
      <x:c r="H59" s="54" t="n">
        <x:v>300</x:v>
      </x:c>
      <x:c r="I59" s="74" t="n">
        <x:f>IF(OR(G59="",H59=""),"",G59/1000*H59)</x:f>
        <x:v>22.5</x:v>
      </x:c>
      <x:c r="J59" s="75" t="n">
        <x:v>0.75</x:v>
      </x:c>
      <x:c r="K59" s="75" t="n">
        <x:v>0.2</x:v>
      </x:c>
      <x:c r="L59" s="75" t="n">
        <x:v>0.025</x:v>
      </x:c>
      <x:c r="M59" s="75" t="n">
        <x:f>IF(OR(J59="",K59=""),"",J59/(2*(1+K59)))</x:f>
        <x:v>0.3125</x:v>
      </x:c>
      <x:c r="N59" s="76" t="n">
        <x:f>IF(OR(J59="",H59="",K59=""),"",SQRT(J59*1000000000*(1-K59)/(H59*(1+K59)*(1-2*K59))))</x:f>
        <x:v>1666.6666666666667</x:v>
      </x:c>
      <x:c r="O59" s="75" t="n">
        <x:f>IF(OR(H59="",N59=""),"",H59*N59/1000000)</x:f>
        <x:v>0.5</x:v>
      </x:c>
      <x:c r="P59" s="74" t="n">
        <x:f>IF(OR(J59="",G59="",K59=""),"",J59*1000000000*(G59/1000)^3/(12*(1-K59^2)))</x:f>
        <x:v>27465.8203125</x:v>
      </x:c>
      <x:c r="Q59" s="76" t="n">
        <x:f>IF(OR(I59="",P59=""),"",343.2^2/(2*PI())*SQRT(I59/P59))</x:f>
        <x:v>536.5493360764547</x:v>
      </x:c>
      <x:c r="R59" s="58" t="n">
        <x:v>2.2</x:v>
      </x:c>
      <x:c r="S59" s="62" t="n">
        <x:v>0.07</x:v>
      </x:c>
      <x:c r="T59" s="46" t="str">
        <x:v>20 °C / kuru nominal</x:v>
      </x:c>
      <x:c r="U59" s="46" t="str">
        <x:v>ORTA</x:v>
      </x:c>
      <x:c r="V59" s="46" t="str">
        <x:v>https://storefrontapi.commerce.xella.com/occ/v2/at/catalogs/atContentCatalog/versions/Online/xellamedia/Ytong-BAU-EPD-Porenbetonsteine.pdf</x:v>
      </x:c>
      <x:c r="W59" s="50" t="str">
        <x:v>Xella EPD aralığına oturtulmuş nominal sınıf: ρ=300–650 kg/m³, E≈750–3250 MPa, basınç dayanımı≈2.2–6.5 MPa. Gerçek ürün sınıfı ve nem için doğrulayın.</x:v>
      </x:c>
    </x:row>
    <x:row r="60">
      <x:c r="A60" s="46" t="str">
        <x:v>AAC-D300-T100</x:v>
      </x:c>
      <x:c r="B60" s="46" t="str">
        <x:v>AAC / Gazbeton</x:v>
      </x:c>
      <x:c r="C60" s="46" t="str">
        <x:v>Nominal kuru yoğunluk sınıfı 300 kg/m³</x:v>
      </x:c>
      <x:c r="D60" s="46" t="str">
        <x:v>GENERIC</x:v>
      </x:c>
      <x:c r="E60" s="46" t="str">
        <x:v>AAC D300</x:v>
      </x:c>
      <x:c r="F60" s="70" t="str">
        <x:v>RANGE_ANCHORED_ENGINEERING</x:v>
      </x:c>
      <x:c r="G60" s="54" t="n">
        <x:v>100</x:v>
      </x:c>
      <x:c r="H60" s="54" t="n">
        <x:v>300</x:v>
      </x:c>
      <x:c r="I60" s="74" t="n">
        <x:f>IF(OR(G60="",H60=""),"",G60/1000*H60)</x:f>
        <x:v>30</x:v>
      </x:c>
      <x:c r="J60" s="75" t="n">
        <x:v>0.75</x:v>
      </x:c>
      <x:c r="K60" s="75" t="n">
        <x:v>0.2</x:v>
      </x:c>
      <x:c r="L60" s="75" t="n">
        <x:v>0.025</x:v>
      </x:c>
      <x:c r="M60" s="75" t="n">
        <x:f>IF(OR(J60="",K60=""),"",J60/(2*(1+K60)))</x:f>
        <x:v>0.3125</x:v>
      </x:c>
      <x:c r="N60" s="76" t="n">
        <x:f>IF(OR(J60="",H60="",K60=""),"",SQRT(J60*1000000000*(1-K60)/(H60*(1+K60)*(1-2*K60))))</x:f>
        <x:v>1666.6666666666667</x:v>
      </x:c>
      <x:c r="O60" s="75" t="n">
        <x:f>IF(OR(H60="",N60=""),"",H60*N60/1000000)</x:f>
        <x:v>0.5</x:v>
      </x:c>
      <x:c r="P60" s="74" t="n">
        <x:f>IF(OR(J60="",G60="",K60=""),"",J60*1000000000*(G60/1000)^3/(12*(1-K60^2)))</x:f>
        <x:v>65104.166666666686</x:v>
      </x:c>
      <x:c r="Q60" s="76" t="n">
        <x:f>IF(OR(I60="",P60=""),"",343.2^2/(2*PI())*SQRT(I60/P60))</x:f>
        <x:v>402.4120020573409</x:v>
      </x:c>
      <x:c r="R60" s="58" t="n">
        <x:v>2.2</x:v>
      </x:c>
      <x:c r="S60" s="62" t="n">
        <x:v>0.07</x:v>
      </x:c>
      <x:c r="T60" s="46" t="str">
        <x:v>20 °C / kuru nominal</x:v>
      </x:c>
      <x:c r="U60" s="46" t="str">
        <x:v>ORTA</x:v>
      </x:c>
      <x:c r="V60" s="46" t="str">
        <x:v>https://storefrontapi.commerce.xella.com/occ/v2/at/catalogs/atContentCatalog/versions/Online/xellamedia/Ytong-BAU-EPD-Porenbetonsteine.pdf</x:v>
      </x:c>
      <x:c r="W60" s="50" t="str">
        <x:v>Xella EPD aralığına oturtulmuş nominal sınıf: ρ=300–650 kg/m³, E≈750–3250 MPa, basınç dayanımı≈2.2–6.5 MPa. Gerçek ürün sınıfı ve nem için doğrulayın.</x:v>
      </x:c>
    </x:row>
    <x:row r="61">
      <x:c r="A61" s="46" t="str">
        <x:v>AAC-D300-T125</x:v>
      </x:c>
      <x:c r="B61" s="46" t="str">
        <x:v>AAC / Gazbeton</x:v>
      </x:c>
      <x:c r="C61" s="46" t="str">
        <x:v>Nominal kuru yoğunluk sınıfı 300 kg/m³</x:v>
      </x:c>
      <x:c r="D61" s="46" t="str">
        <x:v>GENERIC</x:v>
      </x:c>
      <x:c r="E61" s="46" t="str">
        <x:v>AAC D300</x:v>
      </x:c>
      <x:c r="F61" s="70" t="str">
        <x:v>RANGE_ANCHORED_ENGINEERING</x:v>
      </x:c>
      <x:c r="G61" s="54" t="n">
        <x:v>125</x:v>
      </x:c>
      <x:c r="H61" s="54" t="n">
        <x:v>300</x:v>
      </x:c>
      <x:c r="I61" s="74" t="n">
        <x:f>IF(OR(G61="",H61=""),"",G61/1000*H61)</x:f>
        <x:v>37.5</x:v>
      </x:c>
      <x:c r="J61" s="75" t="n">
        <x:v>0.75</x:v>
      </x:c>
      <x:c r="K61" s="75" t="n">
        <x:v>0.2</x:v>
      </x:c>
      <x:c r="L61" s="75" t="n">
        <x:v>0.025</x:v>
      </x:c>
      <x:c r="M61" s="75" t="n">
        <x:f>IF(OR(J61="",K61=""),"",J61/(2*(1+K61)))</x:f>
        <x:v>0.3125</x:v>
      </x:c>
      <x:c r="N61" s="76" t="n">
        <x:f>IF(OR(J61="",H61="",K61=""),"",SQRT(J61*1000000000*(1-K61)/(H61*(1+K61)*(1-2*K61))))</x:f>
        <x:v>1666.6666666666667</x:v>
      </x:c>
      <x:c r="O61" s="75" t="n">
        <x:f>IF(OR(H61="",N61=""),"",H61*N61/1000000)</x:f>
        <x:v>0.5</x:v>
      </x:c>
      <x:c r="P61" s="74" t="n">
        <x:f>IF(OR(J61="",G61="",K61=""),"",J61*1000000000*(G61/1000)^3/(12*(1-K61^2)))</x:f>
        <x:v>127156.57552083334</x:v>
      </x:c>
      <x:c r="Q61" s="76" t="n">
        <x:f>IF(OR(I61="",P61=""),"",343.2^2/(2*PI())*SQRT(I61/P61))</x:f>
        <x:v>321.92960164587276</x:v>
      </x:c>
      <x:c r="R61" s="58" t="n">
        <x:v>2.2</x:v>
      </x:c>
      <x:c r="S61" s="62" t="n">
        <x:v>0.07</x:v>
      </x:c>
      <x:c r="T61" s="46" t="str">
        <x:v>20 °C / kuru nominal</x:v>
      </x:c>
      <x:c r="U61" s="46" t="str">
        <x:v>ORTA</x:v>
      </x:c>
      <x:c r="V61" s="46" t="str">
        <x:v>https://storefrontapi.commerce.xella.com/occ/v2/at/catalogs/atContentCatalog/versions/Online/xellamedia/Ytong-BAU-EPD-Porenbetonsteine.pdf</x:v>
      </x:c>
      <x:c r="W61" s="50" t="str">
        <x:v>Xella EPD aralığına oturtulmuş nominal sınıf: ρ=300–650 kg/m³, E≈750–3250 MPa, basınç dayanımı≈2.2–6.5 MPa. Gerçek ürün sınıfı ve nem için doğrulayın.</x:v>
      </x:c>
    </x:row>
    <x:row r="62">
      <x:c r="A62" s="46" t="str">
        <x:v>AAC-D300-T150</x:v>
      </x:c>
      <x:c r="B62" s="46" t="str">
        <x:v>AAC / Gazbeton</x:v>
      </x:c>
      <x:c r="C62" s="46" t="str">
        <x:v>Nominal kuru yoğunluk sınıfı 300 kg/m³</x:v>
      </x:c>
      <x:c r="D62" s="46" t="str">
        <x:v>GENERIC</x:v>
      </x:c>
      <x:c r="E62" s="46" t="str">
        <x:v>AAC D300</x:v>
      </x:c>
      <x:c r="F62" s="70" t="str">
        <x:v>RANGE_ANCHORED_ENGINEERING</x:v>
      </x:c>
      <x:c r="G62" s="54" t="n">
        <x:v>150</x:v>
      </x:c>
      <x:c r="H62" s="54" t="n">
        <x:v>300</x:v>
      </x:c>
      <x:c r="I62" s="74" t="n">
        <x:f>IF(OR(G62="",H62=""),"",G62/1000*H62)</x:f>
        <x:v>45</x:v>
      </x:c>
      <x:c r="J62" s="75" t="n">
        <x:v>0.75</x:v>
      </x:c>
      <x:c r="K62" s="75" t="n">
        <x:v>0.2</x:v>
      </x:c>
      <x:c r="L62" s="75" t="n">
        <x:v>0.025</x:v>
      </x:c>
      <x:c r="M62" s="75" t="n">
        <x:f>IF(OR(J62="",K62=""),"",J62/(2*(1+K62)))</x:f>
        <x:v>0.3125</x:v>
      </x:c>
      <x:c r="N62" s="76" t="n">
        <x:f>IF(OR(J62="",H62="",K62=""),"",SQRT(J62*1000000000*(1-K62)/(H62*(1+K62)*(1-2*K62))))</x:f>
        <x:v>1666.6666666666667</x:v>
      </x:c>
      <x:c r="O62" s="75" t="n">
        <x:f>IF(OR(H62="",N62=""),"",H62*N62/1000000)</x:f>
        <x:v>0.5</x:v>
      </x:c>
      <x:c r="P62" s="74" t="n">
        <x:f>IF(OR(J62="",G62="",K62=""),"",J62*1000000000*(G62/1000)^3/(12*(1-K62^2)))</x:f>
        <x:v>219726.5625</x:v>
      </x:c>
      <x:c r="Q62" s="76" t="n">
        <x:f>IF(OR(I62="",P62=""),"",343.2^2/(2*PI())*SQRT(I62/P62))</x:f>
        <x:v>268.27466803822733</x:v>
      </x:c>
      <x:c r="R62" s="58" t="n">
        <x:v>2.2</x:v>
      </x:c>
      <x:c r="S62" s="62" t="n">
        <x:v>0.07</x:v>
      </x:c>
      <x:c r="T62" s="46" t="str">
        <x:v>20 °C / kuru nominal</x:v>
      </x:c>
      <x:c r="U62" s="46" t="str">
        <x:v>ORTA</x:v>
      </x:c>
      <x:c r="V62" s="46" t="str">
        <x:v>https://storefrontapi.commerce.xella.com/occ/v2/at/catalogs/atContentCatalog/versions/Online/xellamedia/Ytong-BAU-EPD-Porenbetonsteine.pdf</x:v>
      </x:c>
      <x:c r="W62" s="50" t="str">
        <x:v>Xella EPD aralığına oturtulmuş nominal sınıf: ρ=300–650 kg/m³, E≈750–3250 MPa, basınç dayanımı≈2.2–6.5 MPa. Gerçek ürün sınıfı ve nem için doğrulayın.</x:v>
      </x:c>
    </x:row>
    <x:row r="63">
      <x:c r="A63" s="46" t="str">
        <x:v>AAC-D300-T175</x:v>
      </x:c>
      <x:c r="B63" s="46" t="str">
        <x:v>AAC / Gazbeton</x:v>
      </x:c>
      <x:c r="C63" s="46" t="str">
        <x:v>Nominal kuru yoğunluk sınıfı 300 kg/m³</x:v>
      </x:c>
      <x:c r="D63" s="46" t="str">
        <x:v>GENERIC</x:v>
      </x:c>
      <x:c r="E63" s="46" t="str">
        <x:v>AAC D300</x:v>
      </x:c>
      <x:c r="F63" s="70" t="str">
        <x:v>RANGE_ANCHORED_ENGINEERING</x:v>
      </x:c>
      <x:c r="G63" s="54" t="n">
        <x:v>175</x:v>
      </x:c>
      <x:c r="H63" s="54" t="n">
        <x:v>300</x:v>
      </x:c>
      <x:c r="I63" s="74" t="n">
        <x:f>IF(OR(G63="",H63=""),"",G63/1000*H63)</x:f>
        <x:v>52.5</x:v>
      </x:c>
      <x:c r="J63" s="75" t="n">
        <x:v>0.75</x:v>
      </x:c>
      <x:c r="K63" s="75" t="n">
        <x:v>0.2</x:v>
      </x:c>
      <x:c r="L63" s="75" t="n">
        <x:v>0.025</x:v>
      </x:c>
      <x:c r="M63" s="75" t="n">
        <x:f>IF(OR(J63="",K63=""),"",J63/(2*(1+K63)))</x:f>
        <x:v>0.3125</x:v>
      </x:c>
      <x:c r="N63" s="76" t="n">
        <x:f>IF(OR(J63="",H63="",K63=""),"",SQRT(J63*1000000000*(1-K63)/(H63*(1+K63)*(1-2*K63))))</x:f>
        <x:v>1666.6666666666667</x:v>
      </x:c>
      <x:c r="O63" s="75" t="n">
        <x:f>IF(OR(H63="",N63=""),"",H63*N63/1000000)</x:f>
        <x:v>0.5</x:v>
      </x:c>
      <x:c r="P63" s="74" t="n">
        <x:f>IF(OR(J63="",G63="",K63=""),"",J63*1000000000*(G63/1000)^3/(12*(1-K63^2)))</x:f>
        <x:v>348917.64322916657</x:v>
      </x:c>
      <x:c r="Q63" s="76" t="n">
        <x:f>IF(OR(I63="",P63=""),"",343.2^2/(2*PI())*SQRT(I63/P63))</x:f>
        <x:v>229.94971546133772</x:v>
      </x:c>
      <x:c r="R63" s="58" t="n">
        <x:v>2.2</x:v>
      </x:c>
      <x:c r="S63" s="62" t="n">
        <x:v>0.07</x:v>
      </x:c>
      <x:c r="T63" s="46" t="str">
        <x:v>20 °C / kuru nominal</x:v>
      </x:c>
      <x:c r="U63" s="46" t="str">
        <x:v>ORTA</x:v>
      </x:c>
      <x:c r="V63" s="46" t="str">
        <x:v>https://storefrontapi.commerce.xella.com/occ/v2/at/catalogs/atContentCatalog/versions/Online/xellamedia/Ytong-BAU-EPD-Porenbetonsteine.pdf</x:v>
      </x:c>
      <x:c r="W63" s="50" t="str">
        <x:v>Xella EPD aralığına oturtulmuş nominal sınıf: ρ=300–650 kg/m³, E≈750–3250 MPa, basınç dayanımı≈2.2–6.5 MPa. Gerçek ürün sınıfı ve nem için doğrulayın.</x:v>
      </x:c>
    </x:row>
    <x:row r="64">
      <x:c r="A64" s="46" t="str">
        <x:v>AAC-D300-T200</x:v>
      </x:c>
      <x:c r="B64" s="46" t="str">
        <x:v>AAC / Gazbeton</x:v>
      </x:c>
      <x:c r="C64" s="46" t="str">
        <x:v>Nominal kuru yoğunluk sınıfı 300 kg/m³</x:v>
      </x:c>
      <x:c r="D64" s="46" t="str">
        <x:v>GENERIC</x:v>
      </x:c>
      <x:c r="E64" s="46" t="str">
        <x:v>AAC D300</x:v>
      </x:c>
      <x:c r="F64" s="70" t="str">
        <x:v>RANGE_ANCHORED_ENGINEERING</x:v>
      </x:c>
      <x:c r="G64" s="54" t="n">
        <x:v>200</x:v>
      </x:c>
      <x:c r="H64" s="54" t="n">
        <x:v>300</x:v>
      </x:c>
      <x:c r="I64" s="74" t="n">
        <x:f>IF(OR(G64="",H64=""),"",G64/1000*H64)</x:f>
        <x:v>60</x:v>
      </x:c>
      <x:c r="J64" s="75" t="n">
        <x:v>0.75</x:v>
      </x:c>
      <x:c r="K64" s="75" t="n">
        <x:v>0.2</x:v>
      </x:c>
      <x:c r="L64" s="75" t="n">
        <x:v>0.025</x:v>
      </x:c>
      <x:c r="M64" s="75" t="n">
        <x:f>IF(OR(J64="",K64=""),"",J64/(2*(1+K64)))</x:f>
        <x:v>0.3125</x:v>
      </x:c>
      <x:c r="N64" s="76" t="n">
        <x:f>IF(OR(J64="",H64="",K64=""),"",SQRT(J64*1000000000*(1-K64)/(H64*(1+K64)*(1-2*K64))))</x:f>
        <x:v>1666.6666666666667</x:v>
      </x:c>
      <x:c r="O64" s="75" t="n">
        <x:f>IF(OR(H64="",N64=""),"",H64*N64/1000000)</x:f>
        <x:v>0.5</x:v>
      </x:c>
      <x:c r="P64" s="74" t="n">
        <x:f>IF(OR(J64="",G64="",K64=""),"",J64*1000000000*(G64/1000)^3/(12*(1-K64^2)))</x:f>
        <x:v>520833.3333333335</x:v>
      </x:c>
      <x:c r="Q64" s="76" t="n">
        <x:f>IF(OR(I64="",P64=""),"",343.2^2/(2*PI())*SQRT(I64/P64))</x:f>
        <x:v>201.20600102867044</x:v>
      </x:c>
      <x:c r="R64" s="58" t="n">
        <x:v>2.2</x:v>
      </x:c>
      <x:c r="S64" s="62" t="n">
        <x:v>0.07</x:v>
      </x:c>
      <x:c r="T64" s="46" t="str">
        <x:v>20 °C / kuru nominal</x:v>
      </x:c>
      <x:c r="U64" s="46" t="str">
        <x:v>ORTA</x:v>
      </x:c>
      <x:c r="V64" s="46" t="str">
        <x:v>https://storefrontapi.commerce.xella.com/occ/v2/at/catalogs/atContentCatalog/versions/Online/xellamedia/Ytong-BAU-EPD-Porenbetonsteine.pdf</x:v>
      </x:c>
      <x:c r="W64" s="50" t="str">
        <x:v>Xella EPD aralığına oturtulmuş nominal sınıf: ρ=300–650 kg/m³, E≈750–3250 MPa, basınç dayanımı≈2.2–6.5 MPa. Gerçek ürün sınıfı ve nem için doğrulayın.</x:v>
      </x:c>
    </x:row>
    <x:row r="65">
      <x:c r="A65" s="46" t="str">
        <x:v>AAC-D300-T225</x:v>
      </x:c>
      <x:c r="B65" s="46" t="str">
        <x:v>AAC / Gazbeton</x:v>
      </x:c>
      <x:c r="C65" s="46" t="str">
        <x:v>Nominal kuru yoğunluk sınıfı 300 kg/m³</x:v>
      </x:c>
      <x:c r="D65" s="46" t="str">
        <x:v>GENERIC</x:v>
      </x:c>
      <x:c r="E65" s="46" t="str">
        <x:v>AAC D300</x:v>
      </x:c>
      <x:c r="F65" s="70" t="str">
        <x:v>RANGE_ANCHORED_ENGINEERING</x:v>
      </x:c>
      <x:c r="G65" s="54" t="n">
        <x:v>225</x:v>
      </x:c>
      <x:c r="H65" s="54" t="n">
        <x:v>300</x:v>
      </x:c>
      <x:c r="I65" s="74" t="n">
        <x:f>IF(OR(G65="",H65=""),"",G65/1000*H65)</x:f>
        <x:v>67.5</x:v>
      </x:c>
      <x:c r="J65" s="75" t="n">
        <x:v>0.75</x:v>
      </x:c>
      <x:c r="K65" s="75" t="n">
        <x:v>0.2</x:v>
      </x:c>
      <x:c r="L65" s="75" t="n">
        <x:v>0.025</x:v>
      </x:c>
      <x:c r="M65" s="75" t="n">
        <x:f>IF(OR(J65="",K65=""),"",J65/(2*(1+K65)))</x:f>
        <x:v>0.3125</x:v>
      </x:c>
      <x:c r="N65" s="76" t="n">
        <x:f>IF(OR(J65="",H65="",K65=""),"",SQRT(J65*1000000000*(1-K65)/(H65*(1+K65)*(1-2*K65))))</x:f>
        <x:v>1666.6666666666667</x:v>
      </x:c>
      <x:c r="O65" s="75" t="n">
        <x:f>IF(OR(H65="",N65=""),"",H65*N65/1000000)</x:f>
        <x:v>0.5</x:v>
      </x:c>
      <x:c r="P65" s="74" t="n">
        <x:f>IF(OR(J65="",G65="",K65=""),"",J65*1000000000*(G65/1000)^3/(12*(1-K65^2)))</x:f>
        <x:v>741577.1484375002</x:v>
      </x:c>
      <x:c r="Q65" s="76" t="n">
        <x:f>IF(OR(I65="",P65=""),"",343.2^2/(2*PI())*SQRT(I65/P65))</x:f>
        <x:v>178.8497786921515</x:v>
      </x:c>
      <x:c r="R65" s="58" t="n">
        <x:v>2.2</x:v>
      </x:c>
      <x:c r="S65" s="62" t="n">
        <x:v>0.07</x:v>
      </x:c>
      <x:c r="T65" s="46" t="str">
        <x:v>20 °C / kuru nominal</x:v>
      </x:c>
      <x:c r="U65" s="46" t="str">
        <x:v>ORTA</x:v>
      </x:c>
      <x:c r="V65" s="46" t="str">
        <x:v>https://storefrontapi.commerce.xella.com/occ/v2/at/catalogs/atContentCatalog/versions/Online/xellamedia/Ytong-BAU-EPD-Porenbetonsteine.pdf</x:v>
      </x:c>
      <x:c r="W65" s="50" t="str">
        <x:v>Xella EPD aralığına oturtulmuş nominal sınıf: ρ=300–650 kg/m³, E≈750–3250 MPa, basınç dayanımı≈2.2–6.5 MPa. Gerçek ürün sınıfı ve nem için doğrulayın.</x:v>
      </x:c>
    </x:row>
    <x:row r="66">
      <x:c r="A66" s="46" t="str">
        <x:v>AAC-D300-T250</x:v>
      </x:c>
      <x:c r="B66" s="46" t="str">
        <x:v>AAC / Gazbeton</x:v>
      </x:c>
      <x:c r="C66" s="46" t="str">
        <x:v>Nominal kuru yoğunluk sınıfı 300 kg/m³</x:v>
      </x:c>
      <x:c r="D66" s="46" t="str">
        <x:v>GENERIC</x:v>
      </x:c>
      <x:c r="E66" s="46" t="str">
        <x:v>AAC D300</x:v>
      </x:c>
      <x:c r="F66" s="70" t="str">
        <x:v>RANGE_ANCHORED_ENGINEERING</x:v>
      </x:c>
      <x:c r="G66" s="54" t="n">
        <x:v>250</x:v>
      </x:c>
      <x:c r="H66" s="54" t="n">
        <x:v>300</x:v>
      </x:c>
      <x:c r="I66" s="74" t="n">
        <x:f>IF(OR(G66="",H66=""),"",G66/1000*H66)</x:f>
        <x:v>75</x:v>
      </x:c>
      <x:c r="J66" s="75" t="n">
        <x:v>0.75</x:v>
      </x:c>
      <x:c r="K66" s="75" t="n">
        <x:v>0.2</x:v>
      </x:c>
      <x:c r="L66" s="75" t="n">
        <x:v>0.025</x:v>
      </x:c>
      <x:c r="M66" s="75" t="n">
        <x:f>IF(OR(J66="",K66=""),"",J66/(2*(1+K66)))</x:f>
        <x:v>0.3125</x:v>
      </x:c>
      <x:c r="N66" s="76" t="n">
        <x:f>IF(OR(J66="",H66="",K66=""),"",SQRT(J66*1000000000*(1-K66)/(H66*(1+K66)*(1-2*K66))))</x:f>
        <x:v>1666.6666666666667</x:v>
      </x:c>
      <x:c r="O66" s="75" t="n">
        <x:f>IF(OR(H66="",N66=""),"",H66*N66/1000000)</x:f>
        <x:v>0.5</x:v>
      </x:c>
      <x:c r="P66" s="74" t="n">
        <x:f>IF(OR(J66="",G66="",K66=""),"",J66*1000000000*(G66/1000)^3/(12*(1-K66^2)))</x:f>
        <x:v>1017252.6041666667</x:v>
      </x:c>
      <x:c r="Q66" s="76" t="n">
        <x:f>IF(OR(I66="",P66=""),"",343.2^2/(2*PI())*SQRT(I66/P66))</x:f>
        <x:v>160.96480082293638</x:v>
      </x:c>
      <x:c r="R66" s="58" t="n">
        <x:v>2.2</x:v>
      </x:c>
      <x:c r="S66" s="62" t="n">
        <x:v>0.07</x:v>
      </x:c>
      <x:c r="T66" s="46" t="str">
        <x:v>20 °C / kuru nominal</x:v>
      </x:c>
      <x:c r="U66" s="46" t="str">
        <x:v>ORTA</x:v>
      </x:c>
      <x:c r="V66" s="46" t="str">
        <x:v>https://storefrontapi.commerce.xella.com/occ/v2/at/catalogs/atContentCatalog/versions/Online/xellamedia/Ytong-BAU-EPD-Porenbetonsteine.pdf</x:v>
      </x:c>
      <x:c r="W66" s="50" t="str">
        <x:v>Xella EPD aralığına oturtulmuş nominal sınıf: ρ=300–650 kg/m³, E≈750–3250 MPa, basınç dayanımı≈2.2–6.5 MPa. Gerçek ürün sınıfı ve nem için doğrulayın.</x:v>
      </x:c>
    </x:row>
    <x:row r="67">
      <x:c r="A67" s="46" t="str">
        <x:v>AAC-D300-T300</x:v>
      </x:c>
      <x:c r="B67" s="46" t="str">
        <x:v>AAC / Gazbeton</x:v>
      </x:c>
      <x:c r="C67" s="46" t="str">
        <x:v>Nominal kuru yoğunluk sınıfı 300 kg/m³</x:v>
      </x:c>
      <x:c r="D67" s="46" t="str">
        <x:v>GENERIC</x:v>
      </x:c>
      <x:c r="E67" s="46" t="str">
        <x:v>AAC D300</x:v>
      </x:c>
      <x:c r="F67" s="70" t="str">
        <x:v>RANGE_ANCHORED_ENGINEERING</x:v>
      </x:c>
      <x:c r="G67" s="54" t="n">
        <x:v>300</x:v>
      </x:c>
      <x:c r="H67" s="54" t="n">
        <x:v>300</x:v>
      </x:c>
      <x:c r="I67" s="74" t="n">
        <x:f>IF(OR(G67="",H67=""),"",G67/1000*H67)</x:f>
        <x:v>90</x:v>
      </x:c>
      <x:c r="J67" s="75" t="n">
        <x:v>0.75</x:v>
      </x:c>
      <x:c r="K67" s="75" t="n">
        <x:v>0.2</x:v>
      </x:c>
      <x:c r="L67" s="75" t="n">
        <x:v>0.025</x:v>
      </x:c>
      <x:c r="M67" s="75" t="n">
        <x:f>IF(OR(J67="",K67=""),"",J67/(2*(1+K67)))</x:f>
        <x:v>0.3125</x:v>
      </x:c>
      <x:c r="N67" s="76" t="n">
        <x:f>IF(OR(J67="",H67="",K67=""),"",SQRT(J67*1000000000*(1-K67)/(H67*(1+K67)*(1-2*K67))))</x:f>
        <x:v>1666.6666666666667</x:v>
      </x:c>
      <x:c r="O67" s="75" t="n">
        <x:f>IF(OR(H67="",N67=""),"",H67*N67/1000000)</x:f>
        <x:v>0.5</x:v>
      </x:c>
      <x:c r="P67" s="74" t="n">
        <x:f>IF(OR(J67="",G67="",K67=""),"",J67*1000000000*(G67/1000)^3/(12*(1-K67^2)))</x:f>
        <x:v>1757812.5</x:v>
      </x:c>
      <x:c r="Q67" s="76" t="n">
        <x:f>IF(OR(I67="",P67=""),"",343.2^2/(2*PI())*SQRT(I67/P67))</x:f>
        <x:v>134.13733401911367</x:v>
      </x:c>
      <x:c r="R67" s="58" t="n">
        <x:v>2.2</x:v>
      </x:c>
      <x:c r="S67" s="62" t="n">
        <x:v>0.07</x:v>
      </x:c>
      <x:c r="T67" s="46" t="str">
        <x:v>20 °C / kuru nominal</x:v>
      </x:c>
      <x:c r="U67" s="46" t="str">
        <x:v>ORTA</x:v>
      </x:c>
      <x:c r="V67" s="46" t="str">
        <x:v>https://storefrontapi.commerce.xella.com/occ/v2/at/catalogs/atContentCatalog/versions/Online/xellamedia/Ytong-BAU-EPD-Porenbetonsteine.pdf</x:v>
      </x:c>
      <x:c r="W67" s="50" t="str">
        <x:v>Xella EPD aralığına oturtulmuş nominal sınıf: ρ=300–650 kg/m³, E≈750–3250 MPa, basınç dayanımı≈2.2–6.5 MPa. Gerçek ürün sınıfı ve nem için doğrulayın.</x:v>
      </x:c>
    </x:row>
    <x:row r="68">
      <x:c r="A68" s="46" t="str">
        <x:v>AAC-D300-T375</x:v>
      </x:c>
      <x:c r="B68" s="46" t="str">
        <x:v>AAC / Gazbeton</x:v>
      </x:c>
      <x:c r="C68" s="46" t="str">
        <x:v>Nominal kuru yoğunluk sınıfı 300 kg/m³</x:v>
      </x:c>
      <x:c r="D68" s="46" t="str">
        <x:v>GENERIC</x:v>
      </x:c>
      <x:c r="E68" s="46" t="str">
        <x:v>AAC D300</x:v>
      </x:c>
      <x:c r="F68" s="70" t="str">
        <x:v>RANGE_ANCHORED_ENGINEERING</x:v>
      </x:c>
      <x:c r="G68" s="54" t="n">
        <x:v>375</x:v>
      </x:c>
      <x:c r="H68" s="54" t="n">
        <x:v>300</x:v>
      </x:c>
      <x:c r="I68" s="74" t="n">
        <x:f>IF(OR(G68="",H68=""),"",G68/1000*H68)</x:f>
        <x:v>112.5</x:v>
      </x:c>
      <x:c r="J68" s="75" t="n">
        <x:v>0.75</x:v>
      </x:c>
      <x:c r="K68" s="75" t="n">
        <x:v>0.2</x:v>
      </x:c>
      <x:c r="L68" s="75" t="n">
        <x:v>0.025</x:v>
      </x:c>
      <x:c r="M68" s="75" t="n">
        <x:f>IF(OR(J68="",K68=""),"",J68/(2*(1+K68)))</x:f>
        <x:v>0.3125</x:v>
      </x:c>
      <x:c r="N68" s="76" t="n">
        <x:f>IF(OR(J68="",H68="",K68=""),"",SQRT(J68*1000000000*(1-K68)/(H68*(1+K68)*(1-2*K68))))</x:f>
        <x:v>1666.6666666666667</x:v>
      </x:c>
      <x:c r="O68" s="75" t="n">
        <x:f>IF(OR(H68="",N68=""),"",H68*N68/1000000)</x:f>
        <x:v>0.5</x:v>
      </x:c>
      <x:c r="P68" s="74" t="n">
        <x:f>IF(OR(J68="",G68="",K68=""),"",J68*1000000000*(G68/1000)^3/(12*(1-K68^2)))</x:f>
        <x:v>3433227.5390625</x:v>
      </x:c>
      <x:c r="Q68" s="76" t="n">
        <x:f>IF(OR(I68="",P68=""),"",343.2^2/(2*PI())*SQRT(I68/P68))</x:f>
        <x:v>107.30986721529092</x:v>
      </x:c>
      <x:c r="R68" s="58" t="n">
        <x:v>2.2</x:v>
      </x:c>
      <x:c r="S68" s="62" t="n">
        <x:v>0.07</x:v>
      </x:c>
      <x:c r="T68" s="46" t="str">
        <x:v>20 °C / kuru nominal</x:v>
      </x:c>
      <x:c r="U68" s="46" t="str">
        <x:v>ORTA</x:v>
      </x:c>
      <x:c r="V68" s="46" t="str">
        <x:v>https://storefrontapi.commerce.xella.com/occ/v2/at/catalogs/atContentCatalog/versions/Online/xellamedia/Ytong-BAU-EPD-Porenbetonsteine.pdf</x:v>
      </x:c>
      <x:c r="W68" s="50" t="str">
        <x:v>Xella EPD aralığına oturtulmuş nominal sınıf: ρ=300–650 kg/m³, E≈750–3250 MPa, basınç dayanımı≈2.2–6.5 MPa. Gerçek ürün sınıfı ve nem için doğrulayın.</x:v>
      </x:c>
    </x:row>
    <x:row r="69">
      <x:c r="A69" s="46" t="str">
        <x:v>AAC-D300-T450</x:v>
      </x:c>
      <x:c r="B69" s="46" t="str">
        <x:v>AAC / Gazbeton</x:v>
      </x:c>
      <x:c r="C69" s="46" t="str">
        <x:v>Nominal kuru yoğunluk sınıfı 300 kg/m³</x:v>
      </x:c>
      <x:c r="D69" s="46" t="str">
        <x:v>GENERIC</x:v>
      </x:c>
      <x:c r="E69" s="46" t="str">
        <x:v>AAC D300</x:v>
      </x:c>
      <x:c r="F69" s="70" t="str">
        <x:v>RANGE_ANCHORED_ENGINEERING</x:v>
      </x:c>
      <x:c r="G69" s="54" t="n">
        <x:v>450</x:v>
      </x:c>
      <x:c r="H69" s="54" t="n">
        <x:v>300</x:v>
      </x:c>
      <x:c r="I69" s="74" t="n">
        <x:f>IF(OR(G69="",H69=""),"",G69/1000*H69)</x:f>
        <x:v>135</x:v>
      </x:c>
      <x:c r="J69" s="75" t="n">
        <x:v>0.75</x:v>
      </x:c>
      <x:c r="K69" s="75" t="n">
        <x:v>0.2</x:v>
      </x:c>
      <x:c r="L69" s="75" t="n">
        <x:v>0.025</x:v>
      </x:c>
      <x:c r="M69" s="75" t="n">
        <x:f>IF(OR(J69="",K69=""),"",J69/(2*(1+K69)))</x:f>
        <x:v>0.3125</x:v>
      </x:c>
      <x:c r="N69" s="76" t="n">
        <x:f>IF(OR(J69="",H69="",K69=""),"",SQRT(J69*1000000000*(1-K69)/(H69*(1+K69)*(1-2*K69))))</x:f>
        <x:v>1666.6666666666667</x:v>
      </x:c>
      <x:c r="O69" s="75" t="n">
        <x:f>IF(OR(H69="",N69=""),"",H69*N69/1000000)</x:f>
        <x:v>0.5</x:v>
      </x:c>
      <x:c r="P69" s="74" t="n">
        <x:f>IF(OR(J69="",G69="",K69=""),"",J69*1000000000*(G69/1000)^3/(12*(1-K69^2)))</x:f>
        <x:v>5932617.187500002</x:v>
      </x:c>
      <x:c r="Q69" s="76" t="n">
        <x:f>IF(OR(I69="",P69=""),"",343.2^2/(2*PI())*SQRT(I69/P69))</x:f>
        <x:v>89.42488934607574</x:v>
      </x:c>
      <x:c r="R69" s="58" t="n">
        <x:v>2.2</x:v>
      </x:c>
      <x:c r="S69" s="62" t="n">
        <x:v>0.07</x:v>
      </x:c>
      <x:c r="T69" s="46" t="str">
        <x:v>20 °C / kuru nominal</x:v>
      </x:c>
      <x:c r="U69" s="46" t="str">
        <x:v>ORTA</x:v>
      </x:c>
      <x:c r="V69" s="46" t="str">
        <x:v>https://storefrontapi.commerce.xella.com/occ/v2/at/catalogs/atContentCatalog/versions/Online/xellamedia/Ytong-BAU-EPD-Porenbetonsteine.pdf</x:v>
      </x:c>
      <x:c r="W69" s="50" t="str">
        <x:v>Xella EPD aralığına oturtulmuş nominal sınıf: ρ=300–650 kg/m³, E≈750–3250 MPa, basınç dayanımı≈2.2–6.5 MPa. Gerçek ürün sınıfı ve nem için doğrulayın.</x:v>
      </x:c>
    </x:row>
    <x:row r="70">
      <x:c r="A70" s="46" t="str">
        <x:v>AAC-D300-T500</x:v>
      </x:c>
      <x:c r="B70" s="46" t="str">
        <x:v>AAC / Gazbeton</x:v>
      </x:c>
      <x:c r="C70" s="46" t="str">
        <x:v>Nominal kuru yoğunluk sınıfı 300 kg/m³</x:v>
      </x:c>
      <x:c r="D70" s="46" t="str">
        <x:v>GENERIC</x:v>
      </x:c>
      <x:c r="E70" s="46" t="str">
        <x:v>AAC D300</x:v>
      </x:c>
      <x:c r="F70" s="70" t="str">
        <x:v>RANGE_ANCHORED_ENGINEERING</x:v>
      </x:c>
      <x:c r="G70" s="54" t="n">
        <x:v>500</x:v>
      </x:c>
      <x:c r="H70" s="54" t="n">
        <x:v>300</x:v>
      </x:c>
      <x:c r="I70" s="74" t="n">
        <x:f>IF(OR(G70="",H70=""),"",G70/1000*H70)</x:f>
        <x:v>150</x:v>
      </x:c>
      <x:c r="J70" s="75" t="n">
        <x:v>0.75</x:v>
      </x:c>
      <x:c r="K70" s="75" t="n">
        <x:v>0.2</x:v>
      </x:c>
      <x:c r="L70" s="75" t="n">
        <x:v>0.025</x:v>
      </x:c>
      <x:c r="M70" s="75" t="n">
        <x:f>IF(OR(J70="",K70=""),"",J70/(2*(1+K70)))</x:f>
        <x:v>0.3125</x:v>
      </x:c>
      <x:c r="N70" s="76" t="n">
        <x:f>IF(OR(J70="",H70="",K70=""),"",SQRT(J70*1000000000*(1-K70)/(H70*(1+K70)*(1-2*K70))))</x:f>
        <x:v>1666.6666666666667</x:v>
      </x:c>
      <x:c r="O70" s="75" t="n">
        <x:f>IF(OR(H70="",N70=""),"",H70*N70/1000000)</x:f>
        <x:v>0.5</x:v>
      </x:c>
      <x:c r="P70" s="74" t="n">
        <x:f>IF(OR(J70="",G70="",K70=""),"",J70*1000000000*(G70/1000)^3/(12*(1-K70^2)))</x:f>
        <x:v>8138020.833333334</x:v>
      </x:c>
      <x:c r="Q70" s="76" t="n">
        <x:f>IF(OR(I70="",P70=""),"",343.2^2/(2*PI())*SQRT(I70/P70))</x:f>
        <x:v>80.48240041146819</x:v>
      </x:c>
      <x:c r="R70" s="58" t="n">
        <x:v>2.2</x:v>
      </x:c>
      <x:c r="S70" s="62" t="n">
        <x:v>0.07</x:v>
      </x:c>
      <x:c r="T70" s="46" t="str">
        <x:v>20 °C / kuru nominal</x:v>
      </x:c>
      <x:c r="U70" s="46" t="str">
        <x:v>ORTA</x:v>
      </x:c>
      <x:c r="V70" s="46" t="str">
        <x:v>https://storefrontapi.commerce.xella.com/occ/v2/at/catalogs/atContentCatalog/versions/Online/xellamedia/Ytong-BAU-EPD-Porenbetonsteine.pdf</x:v>
      </x:c>
      <x:c r="W70" s="50" t="str">
        <x:v>Xella EPD aralığına oturtulmuş nominal sınıf: ρ=300–650 kg/m³, E≈750–3250 MPa, basınç dayanımı≈2.2–6.5 MPa. Gerçek ürün sınıfı ve nem için doğrulayın.</x:v>
      </x:c>
    </x:row>
    <x:row r="71">
      <x:c r="A71" s="46" t="str">
        <x:v>AAC-D350-T50</x:v>
      </x:c>
      <x:c r="B71" s="46" t="str">
        <x:v>AAC / Gazbeton</x:v>
      </x:c>
      <x:c r="C71" s="46" t="str">
        <x:v>Nominal kuru yoğunluk sınıfı 350 kg/m³</x:v>
      </x:c>
      <x:c r="D71" s="46" t="str">
        <x:v>GENERIC</x:v>
      </x:c>
      <x:c r="E71" s="46" t="str">
        <x:v>AAC D350</x:v>
      </x:c>
      <x:c r="F71" s="70" t="str">
        <x:v>RANGE_ANCHORED_ENGINEERING</x:v>
      </x:c>
      <x:c r="G71" s="54" t="n">
        <x:v>50</x:v>
      </x:c>
      <x:c r="H71" s="54" t="n">
        <x:v>350</x:v>
      </x:c>
      <x:c r="I71" s="74" t="n">
        <x:f>IF(OR(G71="",H71=""),"",G71/1000*H71)</x:f>
        <x:v>17.5</x:v>
      </x:c>
      <x:c r="J71" s="75" t="n">
        <x:v>1</x:v>
      </x:c>
      <x:c r="K71" s="75" t="n">
        <x:v>0.2</x:v>
      </x:c>
      <x:c r="L71" s="75" t="n">
        <x:v>0.025</x:v>
      </x:c>
      <x:c r="M71" s="75" t="n">
        <x:f>IF(OR(J71="",K71=""),"",J71/(2*(1+K71)))</x:f>
        <x:v>0.4166666666666667</x:v>
      </x:c>
      <x:c r="N71" s="76" t="n">
        <x:f>IF(OR(J71="",H71="",K71=""),"",SQRT(J71*1000000000*(1-K71)/(H71*(1+K71)*(1-2*K71))))</x:f>
        <x:v>1781.7416127494957</x:v>
      </x:c>
      <x:c r="O71" s="75" t="n">
        <x:f>IF(OR(H71="",N71=""),"",H71*N71/1000000)</x:f>
        <x:v>0.6236095644623235</x:v>
      </x:c>
      <x:c r="P71" s="74" t="n">
        <x:f>IF(OR(J71="",G71="",K71=""),"",J71*1000000000*(G71/1000)^3/(12*(1-K71^2)))</x:f>
        <x:v>10850.694444444447</x:v>
      </x:c>
      <x:c r="Q71" s="76" t="n">
        <x:f>IF(OR(I71="",P71=""),"",343.2^2/(2*PI())*SQRT(I71/P71))</x:f>
        <x:v>752.8439200121701</x:v>
      </x:c>
      <x:c r="R71" s="58" t="n">
        <x:v>2.6</x:v>
      </x:c>
      <x:c r="S71" s="62" t="n">
        <x:v>0.08</x:v>
      </x:c>
      <x:c r="T71" s="46" t="str">
        <x:v>20 °C / kuru nominal</x:v>
      </x:c>
      <x:c r="U71" s="46" t="str">
        <x:v>ORTA</x:v>
      </x:c>
      <x:c r="V71" s="46" t="str">
        <x:v>https://storefrontapi.commerce.xella.com/occ/v2/at/catalogs/atContentCatalog/versions/Online/xellamedia/Ytong-BAU-EPD-Porenbetonsteine.pdf</x:v>
      </x:c>
      <x:c r="W71" s="50" t="str">
        <x:v>Xella EPD aralığına oturtulmuş nominal sınıf: ρ=300–650 kg/m³, E≈750–3250 MPa, basınç dayanımı≈2.2–6.5 MPa. Gerçek ürün sınıfı ve nem için doğrulayın.</x:v>
      </x:c>
    </x:row>
    <x:row r="72">
      <x:c r="A72" s="46" t="str">
        <x:v>AAC-D350-T75</x:v>
      </x:c>
      <x:c r="B72" s="46" t="str">
        <x:v>AAC / Gazbeton</x:v>
      </x:c>
      <x:c r="C72" s="46" t="str">
        <x:v>Nominal kuru yoğunluk sınıfı 350 kg/m³</x:v>
      </x:c>
      <x:c r="D72" s="46" t="str">
        <x:v>GENERIC</x:v>
      </x:c>
      <x:c r="E72" s="46" t="str">
        <x:v>AAC D350</x:v>
      </x:c>
      <x:c r="F72" s="70" t="str">
        <x:v>RANGE_ANCHORED_ENGINEERING</x:v>
      </x:c>
      <x:c r="G72" s="54" t="n">
        <x:v>75</x:v>
      </x:c>
      <x:c r="H72" s="54" t="n">
        <x:v>350</x:v>
      </x:c>
      <x:c r="I72" s="74" t="n">
        <x:f>IF(OR(G72="",H72=""),"",G72/1000*H72)</x:f>
        <x:v>26.25</x:v>
      </x:c>
      <x:c r="J72" s="75" t="n">
        <x:v>1</x:v>
      </x:c>
      <x:c r="K72" s="75" t="n">
        <x:v>0.2</x:v>
      </x:c>
      <x:c r="L72" s="75" t="n">
        <x:v>0.025</x:v>
      </x:c>
      <x:c r="M72" s="75" t="n">
        <x:f>IF(OR(J72="",K72=""),"",J72/(2*(1+K72)))</x:f>
        <x:v>0.4166666666666667</x:v>
      </x:c>
      <x:c r="N72" s="76" t="n">
        <x:f>IF(OR(J72="",H72="",K72=""),"",SQRT(J72*1000000000*(1-K72)/(H72*(1+K72)*(1-2*K72))))</x:f>
        <x:v>1781.7416127494957</x:v>
      </x:c>
      <x:c r="O72" s="75" t="n">
        <x:f>IF(OR(H72="",N72=""),"",H72*N72/1000000)</x:f>
        <x:v>0.6236095644623235</x:v>
      </x:c>
      <x:c r="P72" s="74" t="n">
        <x:f>IF(OR(J72="",G72="",K72=""),"",J72*1000000000*(G72/1000)^3/(12*(1-K72^2)))</x:f>
        <x:v>36621.09375</x:v>
      </x:c>
      <x:c r="Q72" s="76" t="n">
        <x:f>IF(OR(I72="",P72=""),"",343.2^2/(2*PI())*SQRT(I72/P72))</x:f>
        <x:v>501.8959466747801</x:v>
      </x:c>
      <x:c r="R72" s="58" t="n">
        <x:v>2.6</x:v>
      </x:c>
      <x:c r="S72" s="62" t="n">
        <x:v>0.08</x:v>
      </x:c>
      <x:c r="T72" s="46" t="str">
        <x:v>20 °C / kuru nominal</x:v>
      </x:c>
      <x:c r="U72" s="46" t="str">
        <x:v>ORTA</x:v>
      </x:c>
      <x:c r="V72" s="46" t="str">
        <x:v>https://storefrontapi.commerce.xella.com/occ/v2/at/catalogs/atContentCatalog/versions/Online/xellamedia/Ytong-BAU-EPD-Porenbetonsteine.pdf</x:v>
      </x:c>
      <x:c r="W72" s="50" t="str">
        <x:v>Xella EPD aralığına oturtulmuş nominal sınıf: ρ=300–650 kg/m³, E≈750–3250 MPa, basınç dayanımı≈2.2–6.5 MPa. Gerçek ürün sınıfı ve nem için doğrulayın.</x:v>
      </x:c>
    </x:row>
    <x:row r="73">
      <x:c r="A73" s="46" t="str">
        <x:v>AAC-D350-T100</x:v>
      </x:c>
      <x:c r="B73" s="46" t="str">
        <x:v>AAC / Gazbeton</x:v>
      </x:c>
      <x:c r="C73" s="46" t="str">
        <x:v>Nominal kuru yoğunluk sınıfı 350 kg/m³</x:v>
      </x:c>
      <x:c r="D73" s="46" t="str">
        <x:v>GENERIC</x:v>
      </x:c>
      <x:c r="E73" s="46" t="str">
        <x:v>AAC D350</x:v>
      </x:c>
      <x:c r="F73" s="70" t="str">
        <x:v>RANGE_ANCHORED_ENGINEERING</x:v>
      </x:c>
      <x:c r="G73" s="54" t="n">
        <x:v>100</x:v>
      </x:c>
      <x:c r="H73" s="54" t="n">
        <x:v>350</x:v>
      </x:c>
      <x:c r="I73" s="74" t="n">
        <x:f>IF(OR(G73="",H73=""),"",G73/1000*H73)</x:f>
        <x:v>35</x:v>
      </x:c>
      <x:c r="J73" s="75" t="n">
        <x:v>1</x:v>
      </x:c>
      <x:c r="K73" s="75" t="n">
        <x:v>0.2</x:v>
      </x:c>
      <x:c r="L73" s="75" t="n">
        <x:v>0.025</x:v>
      </x:c>
      <x:c r="M73" s="75" t="n">
        <x:f>IF(OR(J73="",K73=""),"",J73/(2*(1+K73)))</x:f>
        <x:v>0.4166666666666667</x:v>
      </x:c>
      <x:c r="N73" s="76" t="n">
        <x:f>IF(OR(J73="",H73="",K73=""),"",SQRT(J73*1000000000*(1-K73)/(H73*(1+K73)*(1-2*K73))))</x:f>
        <x:v>1781.7416127494957</x:v>
      </x:c>
      <x:c r="O73" s="75" t="n">
        <x:f>IF(OR(H73="",N73=""),"",H73*N73/1000000)</x:f>
        <x:v>0.6236095644623235</x:v>
      </x:c>
      <x:c r="P73" s="74" t="n">
        <x:f>IF(OR(J73="",G73="",K73=""),"",J73*1000000000*(G73/1000)^3/(12*(1-K73^2)))</x:f>
        <x:v>86805.55555555558</x:v>
      </x:c>
      <x:c r="Q73" s="76" t="n">
        <x:f>IF(OR(I73="",P73=""),"",343.2^2/(2*PI())*SQRT(I73/P73))</x:f>
        <x:v>376.42196000608504</x:v>
      </x:c>
      <x:c r="R73" s="58" t="n">
        <x:v>2.6</x:v>
      </x:c>
      <x:c r="S73" s="62" t="n">
        <x:v>0.08</x:v>
      </x:c>
      <x:c r="T73" s="46" t="str">
        <x:v>20 °C / kuru nominal</x:v>
      </x:c>
      <x:c r="U73" s="46" t="str">
        <x:v>ORTA</x:v>
      </x:c>
      <x:c r="V73" s="46" t="str">
        <x:v>https://storefrontapi.commerce.xella.com/occ/v2/at/catalogs/atContentCatalog/versions/Online/xellamedia/Ytong-BAU-EPD-Porenbetonsteine.pdf</x:v>
      </x:c>
      <x:c r="W73" s="50" t="str">
        <x:v>Xella EPD aralığına oturtulmuş nominal sınıf: ρ=300–650 kg/m³, E≈750–3250 MPa, basınç dayanımı≈2.2–6.5 MPa. Gerçek ürün sınıfı ve nem için doğrulayın.</x:v>
      </x:c>
    </x:row>
    <x:row r="74">
      <x:c r="A74" s="46" t="str">
        <x:v>AAC-D350-T125</x:v>
      </x:c>
      <x:c r="B74" s="46" t="str">
        <x:v>AAC / Gazbeton</x:v>
      </x:c>
      <x:c r="C74" s="46" t="str">
        <x:v>Nominal kuru yoğunluk sınıfı 350 kg/m³</x:v>
      </x:c>
      <x:c r="D74" s="46" t="str">
        <x:v>GENERIC</x:v>
      </x:c>
      <x:c r="E74" s="46" t="str">
        <x:v>AAC D350</x:v>
      </x:c>
      <x:c r="F74" s="70" t="str">
        <x:v>RANGE_ANCHORED_ENGINEERING</x:v>
      </x:c>
      <x:c r="G74" s="54" t="n">
        <x:v>125</x:v>
      </x:c>
      <x:c r="H74" s="54" t="n">
        <x:v>350</x:v>
      </x:c>
      <x:c r="I74" s="74" t="n">
        <x:f>IF(OR(G74="",H74=""),"",G74/1000*H74)</x:f>
        <x:v>43.75</x:v>
      </x:c>
      <x:c r="J74" s="75" t="n">
        <x:v>1</x:v>
      </x:c>
      <x:c r="K74" s="75" t="n">
        <x:v>0.2</x:v>
      </x:c>
      <x:c r="L74" s="75" t="n">
        <x:v>0.025</x:v>
      </x:c>
      <x:c r="M74" s="75" t="n">
        <x:f>IF(OR(J74="",K74=""),"",J74/(2*(1+K74)))</x:f>
        <x:v>0.4166666666666667</x:v>
      </x:c>
      <x:c r="N74" s="76" t="n">
        <x:f>IF(OR(J74="",H74="",K74=""),"",SQRT(J74*1000000000*(1-K74)/(H74*(1+K74)*(1-2*K74))))</x:f>
        <x:v>1781.7416127494957</x:v>
      </x:c>
      <x:c r="O74" s="75" t="n">
        <x:f>IF(OR(H74="",N74=""),"",H74*N74/1000000)</x:f>
        <x:v>0.6236095644623235</x:v>
      </x:c>
      <x:c r="P74" s="74" t="n">
        <x:f>IF(OR(J74="",G74="",K74=""),"",J74*1000000000*(G74/1000)^3/(12*(1-K74^2)))</x:f>
        <x:v>169542.10069444444</x:v>
      </x:c>
      <x:c r="Q74" s="76" t="n">
        <x:f>IF(OR(I74="",P74=""),"",343.2^2/(2*PI())*SQRT(I74/P74))</x:f>
        <x:v>301.1375680048681</x:v>
      </x:c>
      <x:c r="R74" s="58" t="n">
        <x:v>2.6</x:v>
      </x:c>
      <x:c r="S74" s="62" t="n">
        <x:v>0.08</x:v>
      </x:c>
      <x:c r="T74" s="46" t="str">
        <x:v>20 °C / kuru nominal</x:v>
      </x:c>
      <x:c r="U74" s="46" t="str">
        <x:v>ORTA</x:v>
      </x:c>
      <x:c r="V74" s="46" t="str">
        <x:v>https://storefrontapi.commerce.xella.com/occ/v2/at/catalogs/atContentCatalog/versions/Online/xellamedia/Ytong-BAU-EPD-Porenbetonsteine.pdf</x:v>
      </x:c>
      <x:c r="W74" s="50" t="str">
        <x:v>Xella EPD aralığına oturtulmuş nominal sınıf: ρ=300–650 kg/m³, E≈750–3250 MPa, basınç dayanımı≈2.2–6.5 MPa. Gerçek ürün sınıfı ve nem için doğrulayın.</x:v>
      </x:c>
    </x:row>
    <x:row r="75">
      <x:c r="A75" s="46" t="str">
        <x:v>AAC-D350-T150</x:v>
      </x:c>
      <x:c r="B75" s="46" t="str">
        <x:v>AAC / Gazbeton</x:v>
      </x:c>
      <x:c r="C75" s="46" t="str">
        <x:v>Nominal kuru yoğunluk sınıfı 350 kg/m³</x:v>
      </x:c>
      <x:c r="D75" s="46" t="str">
        <x:v>GENERIC</x:v>
      </x:c>
      <x:c r="E75" s="46" t="str">
        <x:v>AAC D350</x:v>
      </x:c>
      <x:c r="F75" s="70" t="str">
        <x:v>RANGE_ANCHORED_ENGINEERING</x:v>
      </x:c>
      <x:c r="G75" s="54" t="n">
        <x:v>150</x:v>
      </x:c>
      <x:c r="H75" s="54" t="n">
        <x:v>350</x:v>
      </x:c>
      <x:c r="I75" s="74" t="n">
        <x:f>IF(OR(G75="",H75=""),"",G75/1000*H75)</x:f>
        <x:v>52.5</x:v>
      </x:c>
      <x:c r="J75" s="75" t="n">
        <x:v>1</x:v>
      </x:c>
      <x:c r="K75" s="75" t="n">
        <x:v>0.2</x:v>
      </x:c>
      <x:c r="L75" s="75" t="n">
        <x:v>0.025</x:v>
      </x:c>
      <x:c r="M75" s="75" t="n">
        <x:f>IF(OR(J75="",K75=""),"",J75/(2*(1+K75)))</x:f>
        <x:v>0.4166666666666667</x:v>
      </x:c>
      <x:c r="N75" s="76" t="n">
        <x:f>IF(OR(J75="",H75="",K75=""),"",SQRT(J75*1000000000*(1-K75)/(H75*(1+K75)*(1-2*K75))))</x:f>
        <x:v>1781.7416127494957</x:v>
      </x:c>
      <x:c r="O75" s="75" t="n">
        <x:f>IF(OR(H75="",N75=""),"",H75*N75/1000000)</x:f>
        <x:v>0.6236095644623235</x:v>
      </x:c>
      <x:c r="P75" s="74" t="n">
        <x:f>IF(OR(J75="",G75="",K75=""),"",J75*1000000000*(G75/1000)^3/(12*(1-K75^2)))</x:f>
        <x:v>292968.75</x:v>
      </x:c>
      <x:c r="Q75" s="76" t="n">
        <x:f>IF(OR(I75="",P75=""),"",343.2^2/(2*PI())*SQRT(I75/P75))</x:f>
        <x:v>250.94797333739004</x:v>
      </x:c>
      <x:c r="R75" s="58" t="n">
        <x:v>2.6</x:v>
      </x:c>
      <x:c r="S75" s="62" t="n">
        <x:v>0.08</x:v>
      </x:c>
      <x:c r="T75" s="46" t="str">
        <x:v>20 °C / kuru nominal</x:v>
      </x:c>
      <x:c r="U75" s="46" t="str">
        <x:v>ORTA</x:v>
      </x:c>
      <x:c r="V75" s="46" t="str">
        <x:v>https://storefrontapi.commerce.xella.com/occ/v2/at/catalogs/atContentCatalog/versions/Online/xellamedia/Ytong-BAU-EPD-Porenbetonsteine.pdf</x:v>
      </x:c>
      <x:c r="W75" s="50" t="str">
        <x:v>Xella EPD aralığına oturtulmuş nominal sınıf: ρ=300–650 kg/m³, E≈750–3250 MPa, basınç dayanımı≈2.2–6.5 MPa. Gerçek ürün sınıfı ve nem için doğrulayın.</x:v>
      </x:c>
    </x:row>
    <x:row r="76">
      <x:c r="A76" s="46" t="str">
        <x:v>AAC-D350-T175</x:v>
      </x:c>
      <x:c r="B76" s="46" t="str">
        <x:v>AAC / Gazbeton</x:v>
      </x:c>
      <x:c r="C76" s="46" t="str">
        <x:v>Nominal kuru yoğunluk sınıfı 350 kg/m³</x:v>
      </x:c>
      <x:c r="D76" s="46" t="str">
        <x:v>GENERIC</x:v>
      </x:c>
      <x:c r="E76" s="46" t="str">
        <x:v>AAC D350</x:v>
      </x:c>
      <x:c r="F76" s="70" t="str">
        <x:v>RANGE_ANCHORED_ENGINEERING</x:v>
      </x:c>
      <x:c r="G76" s="54" t="n">
        <x:v>175</x:v>
      </x:c>
      <x:c r="H76" s="54" t="n">
        <x:v>350</x:v>
      </x:c>
      <x:c r="I76" s="74" t="n">
        <x:f>IF(OR(G76="",H76=""),"",G76/1000*H76)</x:f>
        <x:v>61.24999999999999</x:v>
      </x:c>
      <x:c r="J76" s="75" t="n">
        <x:v>1</x:v>
      </x:c>
      <x:c r="K76" s="75" t="n">
        <x:v>0.2</x:v>
      </x:c>
      <x:c r="L76" s="75" t="n">
        <x:v>0.025</x:v>
      </x:c>
      <x:c r="M76" s="75" t="n">
        <x:f>IF(OR(J76="",K76=""),"",J76/(2*(1+K76)))</x:f>
        <x:v>0.4166666666666667</x:v>
      </x:c>
      <x:c r="N76" s="76" t="n">
        <x:f>IF(OR(J76="",H76="",K76=""),"",SQRT(J76*1000000000*(1-K76)/(H76*(1+K76)*(1-2*K76))))</x:f>
        <x:v>1781.7416127494957</x:v>
      </x:c>
      <x:c r="O76" s="75" t="n">
        <x:f>IF(OR(H76="",N76=""),"",H76*N76/1000000)</x:f>
        <x:v>0.6236095644623235</x:v>
      </x:c>
      <x:c r="P76" s="74" t="n">
        <x:f>IF(OR(J76="",G76="",K76=""),"",J76*1000000000*(G76/1000)^3/(12*(1-K76^2)))</x:f>
        <x:v>465223.5243055555</x:v>
      </x:c>
      <x:c r="Q76" s="76" t="n">
        <x:f>IF(OR(I76="",P76=""),"",343.2^2/(2*PI())*SQRT(I76/P76))</x:f>
        <x:v>215.09826286062005</x:v>
      </x:c>
      <x:c r="R76" s="58" t="n">
        <x:v>2.6</x:v>
      </x:c>
      <x:c r="S76" s="62" t="n">
        <x:v>0.08</x:v>
      </x:c>
      <x:c r="T76" s="46" t="str">
        <x:v>20 °C / kuru nominal</x:v>
      </x:c>
      <x:c r="U76" s="46" t="str">
        <x:v>ORTA</x:v>
      </x:c>
      <x:c r="V76" s="46" t="str">
        <x:v>https://storefrontapi.commerce.xella.com/occ/v2/at/catalogs/atContentCatalog/versions/Online/xellamedia/Ytong-BAU-EPD-Porenbetonsteine.pdf</x:v>
      </x:c>
      <x:c r="W76" s="50" t="str">
        <x:v>Xella EPD aralığına oturtulmuş nominal sınıf: ρ=300–650 kg/m³, E≈750–3250 MPa, basınç dayanımı≈2.2–6.5 MPa. Gerçek ürün sınıfı ve nem için doğrulayın.</x:v>
      </x:c>
    </x:row>
    <x:row r="77">
      <x:c r="A77" s="46" t="str">
        <x:v>AAC-D350-T200</x:v>
      </x:c>
      <x:c r="B77" s="46" t="str">
        <x:v>AAC / Gazbeton</x:v>
      </x:c>
      <x:c r="C77" s="46" t="str">
        <x:v>Nominal kuru yoğunluk sınıfı 350 kg/m³</x:v>
      </x:c>
      <x:c r="D77" s="46" t="str">
        <x:v>GENERIC</x:v>
      </x:c>
      <x:c r="E77" s="46" t="str">
        <x:v>AAC D350</x:v>
      </x:c>
      <x:c r="F77" s="70" t="str">
        <x:v>RANGE_ANCHORED_ENGINEERING</x:v>
      </x:c>
      <x:c r="G77" s="54" t="n">
        <x:v>200</x:v>
      </x:c>
      <x:c r="H77" s="54" t="n">
        <x:v>350</x:v>
      </x:c>
      <x:c r="I77" s="74" t="n">
        <x:f>IF(OR(G77="",H77=""),"",G77/1000*H77)</x:f>
        <x:v>70</x:v>
      </x:c>
      <x:c r="J77" s="75" t="n">
        <x:v>1</x:v>
      </x:c>
      <x:c r="K77" s="75" t="n">
        <x:v>0.2</x:v>
      </x:c>
      <x:c r="L77" s="75" t="n">
        <x:v>0.025</x:v>
      </x:c>
      <x:c r="M77" s="75" t="n">
        <x:f>IF(OR(J77="",K77=""),"",J77/(2*(1+K77)))</x:f>
        <x:v>0.4166666666666667</x:v>
      </x:c>
      <x:c r="N77" s="76" t="n">
        <x:f>IF(OR(J77="",H77="",K77=""),"",SQRT(J77*1000000000*(1-K77)/(H77*(1+K77)*(1-2*K77))))</x:f>
        <x:v>1781.7416127494957</x:v>
      </x:c>
      <x:c r="O77" s="75" t="n">
        <x:f>IF(OR(H77="",N77=""),"",H77*N77/1000000)</x:f>
        <x:v>0.6236095644623235</x:v>
      </x:c>
      <x:c r="P77" s="74" t="n">
        <x:f>IF(OR(J77="",G77="",K77=""),"",J77*1000000000*(G77/1000)^3/(12*(1-K77^2)))</x:f>
        <x:v>694444.4444444446</x:v>
      </x:c>
      <x:c r="Q77" s="76" t="n">
        <x:f>IF(OR(I77="",P77=""),"",343.2^2/(2*PI())*SQRT(I77/P77))</x:f>
        <x:v>188.21098000304252</x:v>
      </x:c>
      <x:c r="R77" s="58" t="n">
        <x:v>2.6</x:v>
      </x:c>
      <x:c r="S77" s="62" t="n">
        <x:v>0.08</x:v>
      </x:c>
      <x:c r="T77" s="46" t="str">
        <x:v>20 °C / kuru nominal</x:v>
      </x:c>
      <x:c r="U77" s="46" t="str">
        <x:v>ORTA</x:v>
      </x:c>
      <x:c r="V77" s="46" t="str">
        <x:v>https://storefrontapi.commerce.xella.com/occ/v2/at/catalogs/atContentCatalog/versions/Online/xellamedia/Ytong-BAU-EPD-Porenbetonsteine.pdf</x:v>
      </x:c>
      <x:c r="W77" s="50" t="str">
        <x:v>Xella EPD aralığına oturtulmuş nominal sınıf: ρ=300–650 kg/m³, E≈750–3250 MPa, basınç dayanımı≈2.2–6.5 MPa. Gerçek ürün sınıfı ve nem için doğrulayın.</x:v>
      </x:c>
    </x:row>
    <x:row r="78">
      <x:c r="A78" s="46" t="str">
        <x:v>AAC-D350-T225</x:v>
      </x:c>
      <x:c r="B78" s="46" t="str">
        <x:v>AAC / Gazbeton</x:v>
      </x:c>
      <x:c r="C78" s="46" t="str">
        <x:v>Nominal kuru yoğunluk sınıfı 350 kg/m³</x:v>
      </x:c>
      <x:c r="D78" s="46" t="str">
        <x:v>GENERIC</x:v>
      </x:c>
      <x:c r="E78" s="46" t="str">
        <x:v>AAC D350</x:v>
      </x:c>
      <x:c r="F78" s="70" t="str">
        <x:v>RANGE_ANCHORED_ENGINEERING</x:v>
      </x:c>
      <x:c r="G78" s="54" t="n">
        <x:v>225</x:v>
      </x:c>
      <x:c r="H78" s="54" t="n">
        <x:v>350</x:v>
      </x:c>
      <x:c r="I78" s="74" t="n">
        <x:f>IF(OR(G78="",H78=""),"",G78/1000*H78)</x:f>
        <x:v>78.75</x:v>
      </x:c>
      <x:c r="J78" s="75" t="n">
        <x:v>1</x:v>
      </x:c>
      <x:c r="K78" s="75" t="n">
        <x:v>0.2</x:v>
      </x:c>
      <x:c r="L78" s="75" t="n">
        <x:v>0.025</x:v>
      </x:c>
      <x:c r="M78" s="75" t="n">
        <x:f>IF(OR(J78="",K78=""),"",J78/(2*(1+K78)))</x:f>
        <x:v>0.4166666666666667</x:v>
      </x:c>
      <x:c r="N78" s="76" t="n">
        <x:f>IF(OR(J78="",H78="",K78=""),"",SQRT(J78*1000000000*(1-K78)/(H78*(1+K78)*(1-2*K78))))</x:f>
        <x:v>1781.7416127494957</x:v>
      </x:c>
      <x:c r="O78" s="75" t="n">
        <x:f>IF(OR(H78="",N78=""),"",H78*N78/1000000)</x:f>
        <x:v>0.6236095644623235</x:v>
      </x:c>
      <x:c r="P78" s="74" t="n">
        <x:f>IF(OR(J78="",G78="",K78=""),"",J78*1000000000*(G78/1000)^3/(12*(1-K78^2)))</x:f>
        <x:v>988769.5312500002</x:v>
      </x:c>
      <x:c r="Q78" s="76" t="n">
        <x:f>IF(OR(I78="",P78=""),"",343.2^2/(2*PI())*SQRT(I78/P78))</x:f>
        <x:v>167.29864889159336</x:v>
      </x:c>
      <x:c r="R78" s="58" t="n">
        <x:v>2.6</x:v>
      </x:c>
      <x:c r="S78" s="62" t="n">
        <x:v>0.08</x:v>
      </x:c>
      <x:c r="T78" s="46" t="str">
        <x:v>20 °C / kuru nominal</x:v>
      </x:c>
      <x:c r="U78" s="46" t="str">
        <x:v>ORTA</x:v>
      </x:c>
      <x:c r="V78" s="46" t="str">
        <x:v>https://storefrontapi.commerce.xella.com/occ/v2/at/catalogs/atContentCatalog/versions/Online/xellamedia/Ytong-BAU-EPD-Porenbetonsteine.pdf</x:v>
      </x:c>
      <x:c r="W78" s="50" t="str">
        <x:v>Xella EPD aralığına oturtulmuş nominal sınıf: ρ=300–650 kg/m³, E≈750–3250 MPa, basınç dayanımı≈2.2–6.5 MPa. Gerçek ürün sınıfı ve nem için doğrulayın.</x:v>
      </x:c>
    </x:row>
    <x:row r="79">
      <x:c r="A79" s="46" t="str">
        <x:v>AAC-D350-T250</x:v>
      </x:c>
      <x:c r="B79" s="46" t="str">
        <x:v>AAC / Gazbeton</x:v>
      </x:c>
      <x:c r="C79" s="46" t="str">
        <x:v>Nominal kuru yoğunluk sınıfı 350 kg/m³</x:v>
      </x:c>
      <x:c r="D79" s="46" t="str">
        <x:v>GENERIC</x:v>
      </x:c>
      <x:c r="E79" s="46" t="str">
        <x:v>AAC D350</x:v>
      </x:c>
      <x:c r="F79" s="70" t="str">
        <x:v>RANGE_ANCHORED_ENGINEERING</x:v>
      </x:c>
      <x:c r="G79" s="54" t="n">
        <x:v>250</x:v>
      </x:c>
      <x:c r="H79" s="54" t="n">
        <x:v>350</x:v>
      </x:c>
      <x:c r="I79" s="74" t="n">
        <x:f>IF(OR(G79="",H79=""),"",G79/1000*H79)</x:f>
        <x:v>87.5</x:v>
      </x:c>
      <x:c r="J79" s="75" t="n">
        <x:v>1</x:v>
      </x:c>
      <x:c r="K79" s="75" t="n">
        <x:v>0.2</x:v>
      </x:c>
      <x:c r="L79" s="75" t="n">
        <x:v>0.025</x:v>
      </x:c>
      <x:c r="M79" s="75" t="n">
        <x:f>IF(OR(J79="",K79=""),"",J79/(2*(1+K79)))</x:f>
        <x:v>0.4166666666666667</x:v>
      </x:c>
      <x:c r="N79" s="76" t="n">
        <x:f>IF(OR(J79="",H79="",K79=""),"",SQRT(J79*1000000000*(1-K79)/(H79*(1+K79)*(1-2*K79))))</x:f>
        <x:v>1781.7416127494957</x:v>
      </x:c>
      <x:c r="O79" s="75" t="n">
        <x:f>IF(OR(H79="",N79=""),"",H79*N79/1000000)</x:f>
        <x:v>0.6236095644623235</x:v>
      </x:c>
      <x:c r="P79" s="74" t="n">
        <x:f>IF(OR(J79="",G79="",K79=""),"",J79*1000000000*(G79/1000)^3/(12*(1-K79^2)))</x:f>
        <x:v>1356336.8055555555</x:v>
      </x:c>
      <x:c r="Q79" s="76" t="n">
        <x:f>IF(OR(I79="",P79=""),"",343.2^2/(2*PI())*SQRT(I79/P79))</x:f>
        <x:v>150.56878400243406</x:v>
      </x:c>
      <x:c r="R79" s="58" t="n">
        <x:v>2.6</x:v>
      </x:c>
      <x:c r="S79" s="62" t="n">
        <x:v>0.08</x:v>
      </x:c>
      <x:c r="T79" s="46" t="str">
        <x:v>20 °C / kuru nominal</x:v>
      </x:c>
      <x:c r="U79" s="46" t="str">
        <x:v>ORTA</x:v>
      </x:c>
      <x:c r="V79" s="46" t="str">
        <x:v>https://storefrontapi.commerce.xella.com/occ/v2/at/catalogs/atContentCatalog/versions/Online/xellamedia/Ytong-BAU-EPD-Porenbetonsteine.pdf</x:v>
      </x:c>
      <x:c r="W79" s="50" t="str">
        <x:v>Xella EPD aralığına oturtulmuş nominal sınıf: ρ=300–650 kg/m³, E≈750–3250 MPa, basınç dayanımı≈2.2–6.5 MPa. Gerçek ürün sınıfı ve nem için doğrulayın.</x:v>
      </x:c>
    </x:row>
    <x:row r="80">
      <x:c r="A80" s="46" t="str">
        <x:v>AAC-D350-T300</x:v>
      </x:c>
      <x:c r="B80" s="46" t="str">
        <x:v>AAC / Gazbeton</x:v>
      </x:c>
      <x:c r="C80" s="46" t="str">
        <x:v>Nominal kuru yoğunluk sınıfı 350 kg/m³</x:v>
      </x:c>
      <x:c r="D80" s="46" t="str">
        <x:v>GENERIC</x:v>
      </x:c>
      <x:c r="E80" s="46" t="str">
        <x:v>AAC D350</x:v>
      </x:c>
      <x:c r="F80" s="70" t="str">
        <x:v>RANGE_ANCHORED_ENGINEERING</x:v>
      </x:c>
      <x:c r="G80" s="54" t="n">
        <x:v>300</x:v>
      </x:c>
      <x:c r="H80" s="54" t="n">
        <x:v>350</x:v>
      </x:c>
      <x:c r="I80" s="74" t="n">
        <x:f>IF(OR(G80="",H80=""),"",G80/1000*H80)</x:f>
        <x:v>105</x:v>
      </x:c>
      <x:c r="J80" s="75" t="n">
        <x:v>1</x:v>
      </x:c>
      <x:c r="K80" s="75" t="n">
        <x:v>0.2</x:v>
      </x:c>
      <x:c r="L80" s="75" t="n">
        <x:v>0.025</x:v>
      </x:c>
      <x:c r="M80" s="75" t="n">
        <x:f>IF(OR(J80="",K80=""),"",J80/(2*(1+K80)))</x:f>
        <x:v>0.4166666666666667</x:v>
      </x:c>
      <x:c r="N80" s="76" t="n">
        <x:f>IF(OR(J80="",H80="",K80=""),"",SQRT(J80*1000000000*(1-K80)/(H80*(1+K80)*(1-2*K80))))</x:f>
        <x:v>1781.7416127494957</x:v>
      </x:c>
      <x:c r="O80" s="75" t="n">
        <x:f>IF(OR(H80="",N80=""),"",H80*N80/1000000)</x:f>
        <x:v>0.6236095644623235</x:v>
      </x:c>
      <x:c r="P80" s="74" t="n">
        <x:f>IF(OR(J80="",G80="",K80=""),"",J80*1000000000*(G80/1000)^3/(12*(1-K80^2)))</x:f>
        <x:v>2343750</x:v>
      </x:c>
      <x:c r="Q80" s="76" t="n">
        <x:f>IF(OR(I80="",P80=""),"",343.2^2/(2*PI())*SQRT(I80/P80))</x:f>
        <x:v>125.47398666869502</x:v>
      </x:c>
      <x:c r="R80" s="58" t="n">
        <x:v>2.6</x:v>
      </x:c>
      <x:c r="S80" s="62" t="n">
        <x:v>0.08</x:v>
      </x:c>
      <x:c r="T80" s="46" t="str">
        <x:v>20 °C / kuru nominal</x:v>
      </x:c>
      <x:c r="U80" s="46" t="str">
        <x:v>ORTA</x:v>
      </x:c>
      <x:c r="V80" s="46" t="str">
        <x:v>https://storefrontapi.commerce.xella.com/occ/v2/at/catalogs/atContentCatalog/versions/Online/xellamedia/Ytong-BAU-EPD-Porenbetonsteine.pdf</x:v>
      </x:c>
      <x:c r="W80" s="50" t="str">
        <x:v>Xella EPD aralığına oturtulmuş nominal sınıf: ρ=300–650 kg/m³, E≈750–3250 MPa, basınç dayanımı≈2.2–6.5 MPa. Gerçek ürün sınıfı ve nem için doğrulayın.</x:v>
      </x:c>
    </x:row>
    <x:row r="81">
      <x:c r="A81" s="46" t="str">
        <x:v>AAC-D350-T375</x:v>
      </x:c>
      <x:c r="B81" s="46" t="str">
        <x:v>AAC / Gazbeton</x:v>
      </x:c>
      <x:c r="C81" s="46" t="str">
        <x:v>Nominal kuru yoğunluk sınıfı 350 kg/m³</x:v>
      </x:c>
      <x:c r="D81" s="46" t="str">
        <x:v>GENERIC</x:v>
      </x:c>
      <x:c r="E81" s="46" t="str">
        <x:v>AAC D350</x:v>
      </x:c>
      <x:c r="F81" s="70" t="str">
        <x:v>RANGE_ANCHORED_ENGINEERING</x:v>
      </x:c>
      <x:c r="G81" s="54" t="n">
        <x:v>375</x:v>
      </x:c>
      <x:c r="H81" s="54" t="n">
        <x:v>350</x:v>
      </x:c>
      <x:c r="I81" s="74" t="n">
        <x:f>IF(OR(G81="",H81=""),"",G81/1000*H81)</x:f>
        <x:v>131.25</x:v>
      </x:c>
      <x:c r="J81" s="75" t="n">
        <x:v>1</x:v>
      </x:c>
      <x:c r="K81" s="75" t="n">
        <x:v>0.2</x:v>
      </x:c>
      <x:c r="L81" s="75" t="n">
        <x:v>0.025</x:v>
      </x:c>
      <x:c r="M81" s="75" t="n">
        <x:f>IF(OR(J81="",K81=""),"",J81/(2*(1+K81)))</x:f>
        <x:v>0.4166666666666667</x:v>
      </x:c>
      <x:c r="N81" s="76" t="n">
        <x:f>IF(OR(J81="",H81="",K81=""),"",SQRT(J81*1000000000*(1-K81)/(H81*(1+K81)*(1-2*K81))))</x:f>
        <x:v>1781.7416127494957</x:v>
      </x:c>
      <x:c r="O81" s="75" t="n">
        <x:f>IF(OR(H81="",N81=""),"",H81*N81/1000000)</x:f>
        <x:v>0.6236095644623235</x:v>
      </x:c>
      <x:c r="P81" s="74" t="n">
        <x:f>IF(OR(J81="",G81="",K81=""),"",J81*1000000000*(G81/1000)^3/(12*(1-K81^2)))</x:f>
        <x:v>4577636.71875</x:v>
      </x:c>
      <x:c r="Q81" s="76" t="n">
        <x:f>IF(OR(I81="",P81=""),"",343.2^2/(2*PI())*SQRT(I81/P81))</x:f>
        <x:v>100.37918933495602</x:v>
      </x:c>
      <x:c r="R81" s="58" t="n">
        <x:v>2.6</x:v>
      </x:c>
      <x:c r="S81" s="62" t="n">
        <x:v>0.08</x:v>
      </x:c>
      <x:c r="T81" s="46" t="str">
        <x:v>20 °C / kuru nominal</x:v>
      </x:c>
      <x:c r="U81" s="46" t="str">
        <x:v>ORTA</x:v>
      </x:c>
      <x:c r="V81" s="46" t="str">
        <x:v>https://storefrontapi.commerce.xella.com/occ/v2/at/catalogs/atContentCatalog/versions/Online/xellamedia/Ytong-BAU-EPD-Porenbetonsteine.pdf</x:v>
      </x:c>
      <x:c r="W81" s="50" t="str">
        <x:v>Xella EPD aralığına oturtulmuş nominal sınıf: ρ=300–650 kg/m³, E≈750–3250 MPa, basınç dayanımı≈2.2–6.5 MPa. Gerçek ürün sınıfı ve nem için doğrulayın.</x:v>
      </x:c>
    </x:row>
    <x:row r="82">
      <x:c r="A82" s="46" t="str">
        <x:v>AAC-D350-T450</x:v>
      </x:c>
      <x:c r="B82" s="46" t="str">
        <x:v>AAC / Gazbeton</x:v>
      </x:c>
      <x:c r="C82" s="46" t="str">
        <x:v>Nominal kuru yoğunluk sınıfı 350 kg/m³</x:v>
      </x:c>
      <x:c r="D82" s="46" t="str">
        <x:v>GENERIC</x:v>
      </x:c>
      <x:c r="E82" s="46" t="str">
        <x:v>AAC D350</x:v>
      </x:c>
      <x:c r="F82" s="70" t="str">
        <x:v>RANGE_ANCHORED_ENGINEERING</x:v>
      </x:c>
      <x:c r="G82" s="54" t="n">
        <x:v>450</x:v>
      </x:c>
      <x:c r="H82" s="54" t="n">
        <x:v>350</x:v>
      </x:c>
      <x:c r="I82" s="74" t="n">
        <x:f>IF(OR(G82="",H82=""),"",G82/1000*H82)</x:f>
        <x:v>157.5</x:v>
      </x:c>
      <x:c r="J82" s="75" t="n">
        <x:v>1</x:v>
      </x:c>
      <x:c r="K82" s="75" t="n">
        <x:v>0.2</x:v>
      </x:c>
      <x:c r="L82" s="75" t="n">
        <x:v>0.025</x:v>
      </x:c>
      <x:c r="M82" s="75" t="n">
        <x:f>IF(OR(J82="",K82=""),"",J82/(2*(1+K82)))</x:f>
        <x:v>0.4166666666666667</x:v>
      </x:c>
      <x:c r="N82" s="76" t="n">
        <x:f>IF(OR(J82="",H82="",K82=""),"",SQRT(J82*1000000000*(1-K82)/(H82*(1+K82)*(1-2*K82))))</x:f>
        <x:v>1781.7416127494957</x:v>
      </x:c>
      <x:c r="O82" s="75" t="n">
        <x:f>IF(OR(H82="",N82=""),"",H82*N82/1000000)</x:f>
        <x:v>0.6236095644623235</x:v>
      </x:c>
      <x:c r="P82" s="74" t="n">
        <x:f>IF(OR(J82="",G82="",K82=""),"",J82*1000000000*(G82/1000)^3/(12*(1-K82^2)))</x:f>
        <x:v>7910156.250000002</x:v>
      </x:c>
      <x:c r="Q82" s="76" t="n">
        <x:f>IF(OR(I82="",P82=""),"",343.2^2/(2*PI())*SQRT(I82/P82))</x:f>
        <x:v>83.64932444579668</x:v>
      </x:c>
      <x:c r="R82" s="58" t="n">
        <x:v>2.6</x:v>
      </x:c>
      <x:c r="S82" s="62" t="n">
        <x:v>0.08</x:v>
      </x:c>
      <x:c r="T82" s="46" t="str">
        <x:v>20 °C / kuru nominal</x:v>
      </x:c>
      <x:c r="U82" s="46" t="str">
        <x:v>ORTA</x:v>
      </x:c>
      <x:c r="V82" s="46" t="str">
        <x:v>https://storefrontapi.commerce.xella.com/occ/v2/at/catalogs/atContentCatalog/versions/Online/xellamedia/Ytong-BAU-EPD-Porenbetonsteine.pdf</x:v>
      </x:c>
      <x:c r="W82" s="50" t="str">
        <x:v>Xella EPD aralığına oturtulmuş nominal sınıf: ρ=300–650 kg/m³, E≈750–3250 MPa, basınç dayanımı≈2.2–6.5 MPa. Gerçek ürün sınıfı ve nem için doğrulayın.</x:v>
      </x:c>
    </x:row>
    <x:row r="83">
      <x:c r="A83" s="46" t="str">
        <x:v>AAC-D350-T500</x:v>
      </x:c>
      <x:c r="B83" s="46" t="str">
        <x:v>AAC / Gazbeton</x:v>
      </x:c>
      <x:c r="C83" s="46" t="str">
        <x:v>Nominal kuru yoğunluk sınıfı 350 kg/m³</x:v>
      </x:c>
      <x:c r="D83" s="46" t="str">
        <x:v>GENERIC</x:v>
      </x:c>
      <x:c r="E83" s="46" t="str">
        <x:v>AAC D350</x:v>
      </x:c>
      <x:c r="F83" s="70" t="str">
        <x:v>RANGE_ANCHORED_ENGINEERING</x:v>
      </x:c>
      <x:c r="G83" s="54" t="n">
        <x:v>500</x:v>
      </x:c>
      <x:c r="H83" s="54" t="n">
        <x:v>350</x:v>
      </x:c>
      <x:c r="I83" s="74" t="n">
        <x:f>IF(OR(G83="",H83=""),"",G83/1000*H83)</x:f>
        <x:v>175</x:v>
      </x:c>
      <x:c r="J83" s="75" t="n">
        <x:v>1</x:v>
      </x:c>
      <x:c r="K83" s="75" t="n">
        <x:v>0.2</x:v>
      </x:c>
      <x:c r="L83" s="75" t="n">
        <x:v>0.025</x:v>
      </x:c>
      <x:c r="M83" s="75" t="n">
        <x:f>IF(OR(J83="",K83=""),"",J83/(2*(1+K83)))</x:f>
        <x:v>0.4166666666666667</x:v>
      </x:c>
      <x:c r="N83" s="76" t="n">
        <x:f>IF(OR(J83="",H83="",K83=""),"",SQRT(J83*1000000000*(1-K83)/(H83*(1+K83)*(1-2*K83))))</x:f>
        <x:v>1781.7416127494957</x:v>
      </x:c>
      <x:c r="O83" s="75" t="n">
        <x:f>IF(OR(H83="",N83=""),"",H83*N83/1000000)</x:f>
        <x:v>0.6236095644623235</x:v>
      </x:c>
      <x:c r="P83" s="74" t="n">
        <x:f>IF(OR(J83="",G83="",K83=""),"",J83*1000000000*(G83/1000)^3/(12*(1-K83^2)))</x:f>
        <x:v>10850694.444444444</x:v>
      </x:c>
      <x:c r="Q83" s="76" t="n">
        <x:f>IF(OR(I83="",P83=""),"",343.2^2/(2*PI())*SQRT(I83/P83))</x:f>
        <x:v>75.28439200121703</x:v>
      </x:c>
      <x:c r="R83" s="58" t="n">
        <x:v>2.6</x:v>
      </x:c>
      <x:c r="S83" s="62" t="n">
        <x:v>0.08</x:v>
      </x:c>
      <x:c r="T83" s="46" t="str">
        <x:v>20 °C / kuru nominal</x:v>
      </x:c>
      <x:c r="U83" s="46" t="str">
        <x:v>ORTA</x:v>
      </x:c>
      <x:c r="V83" s="46" t="str">
        <x:v>https://storefrontapi.commerce.xella.com/occ/v2/at/catalogs/atContentCatalog/versions/Online/xellamedia/Ytong-BAU-EPD-Porenbetonsteine.pdf</x:v>
      </x:c>
      <x:c r="W83" s="50" t="str">
        <x:v>Xella EPD aralığına oturtulmuş nominal sınıf: ρ=300–650 kg/m³, E≈750–3250 MPa, basınç dayanımı≈2.2–6.5 MPa. Gerçek ürün sınıfı ve nem için doğrulayın.</x:v>
      </x:c>
    </x:row>
    <x:row r="84">
      <x:c r="A84" s="46" t="str">
        <x:v>AAC-D400-T50</x:v>
      </x:c>
      <x:c r="B84" s="46" t="str">
        <x:v>AAC / Gazbeton</x:v>
      </x:c>
      <x:c r="C84" s="46" t="str">
        <x:v>Nominal kuru yoğunluk sınıfı 400 kg/m³</x:v>
      </x:c>
      <x:c r="D84" s="46" t="str">
        <x:v>GENERIC</x:v>
      </x:c>
      <x:c r="E84" s="46" t="str">
        <x:v>AAC D400</x:v>
      </x:c>
      <x:c r="F84" s="70" t="str">
        <x:v>RANGE_ANCHORED_ENGINEERING</x:v>
      </x:c>
      <x:c r="G84" s="54" t="n">
        <x:v>50</x:v>
      </x:c>
      <x:c r="H84" s="54" t="n">
        <x:v>400</x:v>
      </x:c>
      <x:c r="I84" s="74" t="n">
        <x:f>IF(OR(G84="",H84=""),"",G84/1000*H84)</x:f>
        <x:v>20</x:v>
      </x:c>
      <x:c r="J84" s="75" t="n">
        <x:v>1.3</x:v>
      </x:c>
      <x:c r="K84" s="75" t="n">
        <x:v>0.2</x:v>
      </x:c>
      <x:c r="L84" s="75" t="n">
        <x:v>0.025</x:v>
      </x:c>
      <x:c r="M84" s="75" t="n">
        <x:f>IF(OR(J84="",K84=""),"",J84/(2*(1+K84)))</x:f>
        <x:v>0.5416666666666667</x:v>
      </x:c>
      <x:c r="N84" s="76" t="n">
        <x:f>IF(OR(J84="",H84="",K84=""),"",SQRT(J84*1000000000*(1-K84)/(H84*(1+K84)*(1-2*K84))))</x:f>
        <x:v>1900.29237516523</x:v>
      </x:c>
      <x:c r="O84" s="75" t="n">
        <x:f>IF(OR(H84="",N84=""),"",H84*N84/1000000)</x:f>
        <x:v>0.7601169500660919</x:v>
      </x:c>
      <x:c r="P84" s="74" t="n">
        <x:f>IF(OR(J84="",G84="",K84=""),"",J84*1000000000*(G84/1000)^3/(12*(1-K84^2)))</x:f>
        <x:v>14105.902777777781</x:v>
      </x:c>
      <x:c r="Q84" s="76" t="n">
        <x:f>IF(OR(I84="",P84=""),"",343.2^2/(2*PI())*SQRT(I84/P84))</x:f>
        <x:v>705.8773469395751</x:v>
      </x:c>
      <x:c r="R84" s="58" t="n">
        <x:v>3</x:v>
      </x:c>
      <x:c r="S84" s="62" t="n">
        <x:v>0.09</x:v>
      </x:c>
      <x:c r="T84" s="46" t="str">
        <x:v>20 °C / kuru nominal</x:v>
      </x:c>
      <x:c r="U84" s="46" t="str">
        <x:v>ORTA</x:v>
      </x:c>
      <x:c r="V84" s="46" t="str">
        <x:v>https://storefrontapi.commerce.xella.com/occ/v2/at/catalogs/atContentCatalog/versions/Online/xellamedia/Ytong-BAU-EPD-Porenbetonsteine.pdf</x:v>
      </x:c>
      <x:c r="W84" s="50" t="str">
        <x:v>Xella EPD aralığına oturtulmuş nominal sınıf: ρ=300–650 kg/m³, E≈750–3250 MPa, basınç dayanımı≈2.2–6.5 MPa. Gerçek ürün sınıfı ve nem için doğrulayın.</x:v>
      </x:c>
    </x:row>
    <x:row r="85">
      <x:c r="A85" s="46" t="str">
        <x:v>AAC-D400-T75</x:v>
      </x:c>
      <x:c r="B85" s="46" t="str">
        <x:v>AAC / Gazbeton</x:v>
      </x:c>
      <x:c r="C85" s="46" t="str">
        <x:v>Nominal kuru yoğunluk sınıfı 400 kg/m³</x:v>
      </x:c>
      <x:c r="D85" s="46" t="str">
        <x:v>GENERIC</x:v>
      </x:c>
      <x:c r="E85" s="46" t="str">
        <x:v>AAC D400</x:v>
      </x:c>
      <x:c r="F85" s="70" t="str">
        <x:v>RANGE_ANCHORED_ENGINEERING</x:v>
      </x:c>
      <x:c r="G85" s="54" t="n">
        <x:v>75</x:v>
      </x:c>
      <x:c r="H85" s="54" t="n">
        <x:v>400</x:v>
      </x:c>
      <x:c r="I85" s="74" t="n">
        <x:f>IF(OR(G85="",H85=""),"",G85/1000*H85)</x:f>
        <x:v>30</x:v>
      </x:c>
      <x:c r="J85" s="75" t="n">
        <x:v>1.3</x:v>
      </x:c>
      <x:c r="K85" s="75" t="n">
        <x:v>0.2</x:v>
      </x:c>
      <x:c r="L85" s="75" t="n">
        <x:v>0.025</x:v>
      </x:c>
      <x:c r="M85" s="75" t="n">
        <x:f>IF(OR(J85="",K85=""),"",J85/(2*(1+K85)))</x:f>
        <x:v>0.5416666666666667</x:v>
      </x:c>
      <x:c r="N85" s="76" t="n">
        <x:f>IF(OR(J85="",H85="",K85=""),"",SQRT(J85*1000000000*(1-K85)/(H85*(1+K85)*(1-2*K85))))</x:f>
        <x:v>1900.29237516523</x:v>
      </x:c>
      <x:c r="O85" s="75" t="n">
        <x:f>IF(OR(H85="",N85=""),"",H85*N85/1000000)</x:f>
        <x:v>0.7601169500660919</x:v>
      </x:c>
      <x:c r="P85" s="74" t="n">
        <x:f>IF(OR(J85="",G85="",K85=""),"",J85*1000000000*(G85/1000)^3/(12*(1-K85^2)))</x:f>
        <x:v>47607.421875</x:v>
      </x:c>
      <x:c r="Q85" s="76" t="n">
        <x:f>IF(OR(I85="",P85=""),"",343.2^2/(2*PI())*SQRT(I85/P85))</x:f>
        <x:v>470.58489795971684</x:v>
      </x:c>
      <x:c r="R85" s="58" t="n">
        <x:v>3</x:v>
      </x:c>
      <x:c r="S85" s="62" t="n">
        <x:v>0.09</x:v>
      </x:c>
      <x:c r="T85" s="46" t="str">
        <x:v>20 °C / kuru nominal</x:v>
      </x:c>
      <x:c r="U85" s="46" t="str">
        <x:v>ORTA</x:v>
      </x:c>
      <x:c r="V85" s="46" t="str">
        <x:v>https://storefrontapi.commerce.xella.com/occ/v2/at/catalogs/atContentCatalog/versions/Online/xellamedia/Ytong-BAU-EPD-Porenbetonsteine.pdf</x:v>
      </x:c>
      <x:c r="W85" s="50" t="str">
        <x:v>Xella EPD aralığına oturtulmuş nominal sınıf: ρ=300–650 kg/m³, E≈750–3250 MPa, basınç dayanımı≈2.2–6.5 MPa. Gerçek ürün sınıfı ve nem için doğrulayın.</x:v>
      </x:c>
    </x:row>
    <x:row r="86">
      <x:c r="A86" s="46" t="str">
        <x:v>AAC-D400-T100</x:v>
      </x:c>
      <x:c r="B86" s="46" t="str">
        <x:v>AAC / Gazbeton</x:v>
      </x:c>
      <x:c r="C86" s="46" t="str">
        <x:v>Nominal kuru yoğunluk sınıfı 400 kg/m³</x:v>
      </x:c>
      <x:c r="D86" s="46" t="str">
        <x:v>GENERIC</x:v>
      </x:c>
      <x:c r="E86" s="46" t="str">
        <x:v>AAC D400</x:v>
      </x:c>
      <x:c r="F86" s="70" t="str">
        <x:v>RANGE_ANCHORED_ENGINEERING</x:v>
      </x:c>
      <x:c r="G86" s="54" t="n">
        <x:v>100</x:v>
      </x:c>
      <x:c r="H86" s="54" t="n">
        <x:v>400</x:v>
      </x:c>
      <x:c r="I86" s="74" t="n">
        <x:f>IF(OR(G86="",H86=""),"",G86/1000*H86)</x:f>
        <x:v>40</x:v>
      </x:c>
      <x:c r="J86" s="75" t="n">
        <x:v>1.3</x:v>
      </x:c>
      <x:c r="K86" s="75" t="n">
        <x:v>0.2</x:v>
      </x:c>
      <x:c r="L86" s="75" t="n">
        <x:v>0.025</x:v>
      </x:c>
      <x:c r="M86" s="75" t="n">
        <x:f>IF(OR(J86="",K86=""),"",J86/(2*(1+K86)))</x:f>
        <x:v>0.5416666666666667</x:v>
      </x:c>
      <x:c r="N86" s="76" t="n">
        <x:f>IF(OR(J86="",H86="",K86=""),"",SQRT(J86*1000000000*(1-K86)/(H86*(1+K86)*(1-2*K86))))</x:f>
        <x:v>1900.29237516523</x:v>
      </x:c>
      <x:c r="O86" s="75" t="n">
        <x:f>IF(OR(H86="",N86=""),"",H86*N86/1000000)</x:f>
        <x:v>0.7601169500660919</x:v>
      </x:c>
      <x:c r="P86" s="74" t="n">
        <x:f>IF(OR(J86="",G86="",K86=""),"",J86*1000000000*(G86/1000)^3/(12*(1-K86^2)))</x:f>
        <x:v>112847.22222222225</x:v>
      </x:c>
      <x:c r="Q86" s="76" t="n">
        <x:f>IF(OR(I86="",P86=""),"",343.2^2/(2*PI())*SQRT(I86/P86))</x:f>
        <x:v>352.93867346978755</x:v>
      </x:c>
      <x:c r="R86" s="58" t="n">
        <x:v>3</x:v>
      </x:c>
      <x:c r="S86" s="62" t="n">
        <x:v>0.09</x:v>
      </x:c>
      <x:c r="T86" s="46" t="str">
        <x:v>20 °C / kuru nominal</x:v>
      </x:c>
      <x:c r="U86" s="46" t="str">
        <x:v>ORTA</x:v>
      </x:c>
      <x:c r="V86" s="46" t="str">
        <x:v>https://storefrontapi.commerce.xella.com/occ/v2/at/catalogs/atContentCatalog/versions/Online/xellamedia/Ytong-BAU-EPD-Porenbetonsteine.pdf</x:v>
      </x:c>
      <x:c r="W86" s="50" t="str">
        <x:v>Xella EPD aralığına oturtulmuş nominal sınıf: ρ=300–650 kg/m³, E≈750–3250 MPa, basınç dayanımı≈2.2–6.5 MPa. Gerçek ürün sınıfı ve nem için doğrulayın.</x:v>
      </x:c>
    </x:row>
    <x:row r="87">
      <x:c r="A87" s="46" t="str">
        <x:v>AAC-D400-T125</x:v>
      </x:c>
      <x:c r="B87" s="46" t="str">
        <x:v>AAC / Gazbeton</x:v>
      </x:c>
      <x:c r="C87" s="46" t="str">
        <x:v>Nominal kuru yoğunluk sınıfı 400 kg/m³</x:v>
      </x:c>
      <x:c r="D87" s="46" t="str">
        <x:v>GENERIC</x:v>
      </x:c>
      <x:c r="E87" s="46" t="str">
        <x:v>AAC D400</x:v>
      </x:c>
      <x:c r="F87" s="70" t="str">
        <x:v>RANGE_ANCHORED_ENGINEERING</x:v>
      </x:c>
      <x:c r="G87" s="54" t="n">
        <x:v>125</x:v>
      </x:c>
      <x:c r="H87" s="54" t="n">
        <x:v>400</x:v>
      </x:c>
      <x:c r="I87" s="74" t="n">
        <x:f>IF(OR(G87="",H87=""),"",G87/1000*H87)</x:f>
        <x:v>50</x:v>
      </x:c>
      <x:c r="J87" s="75" t="n">
        <x:v>1.3</x:v>
      </x:c>
      <x:c r="K87" s="75" t="n">
        <x:v>0.2</x:v>
      </x:c>
      <x:c r="L87" s="75" t="n">
        <x:v>0.025</x:v>
      </x:c>
      <x:c r="M87" s="75" t="n">
        <x:f>IF(OR(J87="",K87=""),"",J87/(2*(1+K87)))</x:f>
        <x:v>0.5416666666666667</x:v>
      </x:c>
      <x:c r="N87" s="76" t="n">
        <x:f>IF(OR(J87="",H87="",K87=""),"",SQRT(J87*1000000000*(1-K87)/(H87*(1+K87)*(1-2*K87))))</x:f>
        <x:v>1900.29237516523</x:v>
      </x:c>
      <x:c r="O87" s="75" t="n">
        <x:f>IF(OR(H87="",N87=""),"",H87*N87/1000000)</x:f>
        <x:v>0.7601169500660919</x:v>
      </x:c>
      <x:c r="P87" s="74" t="n">
        <x:f>IF(OR(J87="",G87="",K87=""),"",J87*1000000000*(G87/1000)^3/(12*(1-K87^2)))</x:f>
        <x:v>220404.73090277778</x:v>
      </x:c>
      <x:c r="Q87" s="76" t="n">
        <x:f>IF(OR(I87="",P87=""),"",343.2^2/(2*PI())*SQRT(I87/P87))</x:f>
        <x:v>282.3509387758301</x:v>
      </x:c>
      <x:c r="R87" s="58" t="n">
        <x:v>3</x:v>
      </x:c>
      <x:c r="S87" s="62" t="n">
        <x:v>0.09</x:v>
      </x:c>
      <x:c r="T87" s="46" t="str">
        <x:v>20 °C / kuru nominal</x:v>
      </x:c>
      <x:c r="U87" s="46" t="str">
        <x:v>ORTA</x:v>
      </x:c>
      <x:c r="V87" s="46" t="str">
        <x:v>https://storefrontapi.commerce.xella.com/occ/v2/at/catalogs/atContentCatalog/versions/Online/xellamedia/Ytong-BAU-EPD-Porenbetonsteine.pdf</x:v>
      </x:c>
      <x:c r="W87" s="50" t="str">
        <x:v>Xella EPD aralığına oturtulmuş nominal sınıf: ρ=300–650 kg/m³, E≈750–3250 MPa, basınç dayanımı≈2.2–6.5 MPa. Gerçek ürün sınıfı ve nem için doğrulayın.</x:v>
      </x:c>
    </x:row>
    <x:row r="88">
      <x:c r="A88" s="46" t="str">
        <x:v>AAC-D400-T150</x:v>
      </x:c>
      <x:c r="B88" s="46" t="str">
        <x:v>AAC / Gazbeton</x:v>
      </x:c>
      <x:c r="C88" s="46" t="str">
        <x:v>Nominal kuru yoğunluk sınıfı 400 kg/m³</x:v>
      </x:c>
      <x:c r="D88" s="46" t="str">
        <x:v>GENERIC</x:v>
      </x:c>
      <x:c r="E88" s="46" t="str">
        <x:v>AAC D400</x:v>
      </x:c>
      <x:c r="F88" s="70" t="str">
        <x:v>RANGE_ANCHORED_ENGINEERING</x:v>
      </x:c>
      <x:c r="G88" s="54" t="n">
        <x:v>150</x:v>
      </x:c>
      <x:c r="H88" s="54" t="n">
        <x:v>400</x:v>
      </x:c>
      <x:c r="I88" s="74" t="n">
        <x:f>IF(OR(G88="",H88=""),"",G88/1000*H88)</x:f>
        <x:v>60</x:v>
      </x:c>
      <x:c r="J88" s="75" t="n">
        <x:v>1.3</x:v>
      </x:c>
      <x:c r="K88" s="75" t="n">
        <x:v>0.2</x:v>
      </x:c>
      <x:c r="L88" s="75" t="n">
        <x:v>0.025</x:v>
      </x:c>
      <x:c r="M88" s="75" t="n">
        <x:f>IF(OR(J88="",K88=""),"",J88/(2*(1+K88)))</x:f>
        <x:v>0.5416666666666667</x:v>
      </x:c>
      <x:c r="N88" s="76" t="n">
        <x:f>IF(OR(J88="",H88="",K88=""),"",SQRT(J88*1000000000*(1-K88)/(H88*(1+K88)*(1-2*K88))))</x:f>
        <x:v>1900.29237516523</x:v>
      </x:c>
      <x:c r="O88" s="75" t="n">
        <x:f>IF(OR(H88="",N88=""),"",H88*N88/1000000)</x:f>
        <x:v>0.7601169500660919</x:v>
      </x:c>
      <x:c r="P88" s="74" t="n">
        <x:f>IF(OR(J88="",G88="",K88=""),"",J88*1000000000*(G88/1000)^3/(12*(1-K88^2)))</x:f>
        <x:v>380859.375</x:v>
      </x:c>
      <x:c r="Q88" s="76" t="n">
        <x:f>IF(OR(I88="",P88=""),"",343.2^2/(2*PI())*SQRT(I88/P88))</x:f>
        <x:v>235.29244897985842</x:v>
      </x:c>
      <x:c r="R88" s="58" t="n">
        <x:v>3</x:v>
      </x:c>
      <x:c r="S88" s="62" t="n">
        <x:v>0.09</x:v>
      </x:c>
      <x:c r="T88" s="46" t="str">
        <x:v>20 °C / kuru nominal</x:v>
      </x:c>
      <x:c r="U88" s="46" t="str">
        <x:v>ORTA</x:v>
      </x:c>
      <x:c r="V88" s="46" t="str">
        <x:v>https://storefrontapi.commerce.xella.com/occ/v2/at/catalogs/atContentCatalog/versions/Online/xellamedia/Ytong-BAU-EPD-Porenbetonsteine.pdf</x:v>
      </x:c>
      <x:c r="W88" s="50" t="str">
        <x:v>Xella EPD aralığına oturtulmuş nominal sınıf: ρ=300–650 kg/m³, E≈750–3250 MPa, basınç dayanımı≈2.2–6.5 MPa. Gerçek ürün sınıfı ve nem için doğrulayın.</x:v>
      </x:c>
    </x:row>
    <x:row r="89">
      <x:c r="A89" s="46" t="str">
        <x:v>AAC-D400-T175</x:v>
      </x:c>
      <x:c r="B89" s="46" t="str">
        <x:v>AAC / Gazbeton</x:v>
      </x:c>
      <x:c r="C89" s="46" t="str">
        <x:v>Nominal kuru yoğunluk sınıfı 400 kg/m³</x:v>
      </x:c>
      <x:c r="D89" s="46" t="str">
        <x:v>GENERIC</x:v>
      </x:c>
      <x:c r="E89" s="46" t="str">
        <x:v>AAC D400</x:v>
      </x:c>
      <x:c r="F89" s="70" t="str">
        <x:v>RANGE_ANCHORED_ENGINEERING</x:v>
      </x:c>
      <x:c r="G89" s="54" t="n">
        <x:v>175</x:v>
      </x:c>
      <x:c r="H89" s="54" t="n">
        <x:v>400</x:v>
      </x:c>
      <x:c r="I89" s="74" t="n">
        <x:f>IF(OR(G89="",H89=""),"",G89/1000*H89)</x:f>
        <x:v>70</x:v>
      </x:c>
      <x:c r="J89" s="75" t="n">
        <x:v>1.3</x:v>
      </x:c>
      <x:c r="K89" s="75" t="n">
        <x:v>0.2</x:v>
      </x:c>
      <x:c r="L89" s="75" t="n">
        <x:v>0.025</x:v>
      </x:c>
      <x:c r="M89" s="75" t="n">
        <x:f>IF(OR(J89="",K89=""),"",J89/(2*(1+K89)))</x:f>
        <x:v>0.5416666666666667</x:v>
      </x:c>
      <x:c r="N89" s="76" t="n">
        <x:f>IF(OR(J89="",H89="",K89=""),"",SQRT(J89*1000000000*(1-K89)/(H89*(1+K89)*(1-2*K89))))</x:f>
        <x:v>1900.29237516523</x:v>
      </x:c>
      <x:c r="O89" s="75" t="n">
        <x:f>IF(OR(H89="",N89=""),"",H89*N89/1000000)</x:f>
        <x:v>0.7601169500660919</x:v>
      </x:c>
      <x:c r="P89" s="74" t="n">
        <x:f>IF(OR(J89="",G89="",K89=""),"",J89*1000000000*(G89/1000)^3/(12*(1-K89^2)))</x:f>
        <x:v>604790.5815972221</x:v>
      </x:c>
      <x:c r="Q89" s="76" t="n">
        <x:f>IF(OR(I89="",P89=""),"",343.2^2/(2*PI())*SQRT(I89/P89))</x:f>
        <x:v>201.6792419827358</x:v>
      </x:c>
      <x:c r="R89" s="58" t="n">
        <x:v>3</x:v>
      </x:c>
      <x:c r="S89" s="62" t="n">
        <x:v>0.09</x:v>
      </x:c>
      <x:c r="T89" s="46" t="str">
        <x:v>20 °C / kuru nominal</x:v>
      </x:c>
      <x:c r="U89" s="46" t="str">
        <x:v>ORTA</x:v>
      </x:c>
      <x:c r="V89" s="46" t="str">
        <x:v>https://storefrontapi.commerce.xella.com/occ/v2/at/catalogs/atContentCatalog/versions/Online/xellamedia/Ytong-BAU-EPD-Porenbetonsteine.pdf</x:v>
      </x:c>
      <x:c r="W89" s="50" t="str">
        <x:v>Xella EPD aralığına oturtulmuş nominal sınıf: ρ=300–650 kg/m³, E≈750–3250 MPa, basınç dayanımı≈2.2–6.5 MPa. Gerçek ürün sınıfı ve nem için doğrulayın.</x:v>
      </x:c>
    </x:row>
    <x:row r="90">
      <x:c r="A90" s="46" t="str">
        <x:v>AAC-D400-T200</x:v>
      </x:c>
      <x:c r="B90" s="46" t="str">
        <x:v>AAC / Gazbeton</x:v>
      </x:c>
      <x:c r="C90" s="46" t="str">
        <x:v>Nominal kuru yoğunluk sınıfı 400 kg/m³</x:v>
      </x:c>
      <x:c r="D90" s="46" t="str">
        <x:v>GENERIC</x:v>
      </x:c>
      <x:c r="E90" s="46" t="str">
        <x:v>AAC D400</x:v>
      </x:c>
      <x:c r="F90" s="70" t="str">
        <x:v>RANGE_ANCHORED_ENGINEERING</x:v>
      </x:c>
      <x:c r="G90" s="54" t="n">
        <x:v>200</x:v>
      </x:c>
      <x:c r="H90" s="54" t="n">
        <x:v>400</x:v>
      </x:c>
      <x:c r="I90" s="74" t="n">
        <x:f>IF(OR(G90="",H90=""),"",G90/1000*H90)</x:f>
        <x:v>80</x:v>
      </x:c>
      <x:c r="J90" s="75" t="n">
        <x:v>1.3</x:v>
      </x:c>
      <x:c r="K90" s="75" t="n">
        <x:v>0.2</x:v>
      </x:c>
      <x:c r="L90" s="75" t="n">
        <x:v>0.025</x:v>
      </x:c>
      <x:c r="M90" s="75" t="n">
        <x:f>IF(OR(J90="",K90=""),"",J90/(2*(1+K90)))</x:f>
        <x:v>0.5416666666666667</x:v>
      </x:c>
      <x:c r="N90" s="76" t="n">
        <x:f>IF(OR(J90="",H90="",K90=""),"",SQRT(J90*1000000000*(1-K90)/(H90*(1+K90)*(1-2*K90))))</x:f>
        <x:v>1900.29237516523</x:v>
      </x:c>
      <x:c r="O90" s="75" t="n">
        <x:f>IF(OR(H90="",N90=""),"",H90*N90/1000000)</x:f>
        <x:v>0.7601169500660919</x:v>
      </x:c>
      <x:c r="P90" s="74" t="n">
        <x:f>IF(OR(J90="",G90="",K90=""),"",J90*1000000000*(G90/1000)^3/(12*(1-K90^2)))</x:f>
        <x:v>902777.777777778</x:v>
      </x:c>
      <x:c r="Q90" s="76" t="n">
        <x:f>IF(OR(I90="",P90=""),"",343.2^2/(2*PI())*SQRT(I90/P90))</x:f>
        <x:v>176.46933673489377</x:v>
      </x:c>
      <x:c r="R90" s="58" t="n">
        <x:v>3</x:v>
      </x:c>
      <x:c r="S90" s="62" t="n">
        <x:v>0.09</x:v>
      </x:c>
      <x:c r="T90" s="46" t="str">
        <x:v>20 °C / kuru nominal</x:v>
      </x:c>
      <x:c r="U90" s="46" t="str">
        <x:v>ORTA</x:v>
      </x:c>
      <x:c r="V90" s="46" t="str">
        <x:v>https://storefrontapi.commerce.xella.com/occ/v2/at/catalogs/atContentCatalog/versions/Online/xellamedia/Ytong-BAU-EPD-Porenbetonsteine.pdf</x:v>
      </x:c>
      <x:c r="W90" s="50" t="str">
        <x:v>Xella EPD aralığına oturtulmuş nominal sınıf: ρ=300–650 kg/m³, E≈750–3250 MPa, basınç dayanımı≈2.2–6.5 MPa. Gerçek ürün sınıfı ve nem için doğrulayın.</x:v>
      </x:c>
    </x:row>
    <x:row r="91">
      <x:c r="A91" s="46" t="str">
        <x:v>AAC-D400-T225</x:v>
      </x:c>
      <x:c r="B91" s="46" t="str">
        <x:v>AAC / Gazbeton</x:v>
      </x:c>
      <x:c r="C91" s="46" t="str">
        <x:v>Nominal kuru yoğunluk sınıfı 400 kg/m³</x:v>
      </x:c>
      <x:c r="D91" s="46" t="str">
        <x:v>GENERIC</x:v>
      </x:c>
      <x:c r="E91" s="46" t="str">
        <x:v>AAC D400</x:v>
      </x:c>
      <x:c r="F91" s="70" t="str">
        <x:v>RANGE_ANCHORED_ENGINEERING</x:v>
      </x:c>
      <x:c r="G91" s="54" t="n">
        <x:v>225</x:v>
      </x:c>
      <x:c r="H91" s="54" t="n">
        <x:v>400</x:v>
      </x:c>
      <x:c r="I91" s="74" t="n">
        <x:f>IF(OR(G91="",H91=""),"",G91/1000*H91)</x:f>
        <x:v>90</x:v>
      </x:c>
      <x:c r="J91" s="75" t="n">
        <x:v>1.3</x:v>
      </x:c>
      <x:c r="K91" s="75" t="n">
        <x:v>0.2</x:v>
      </x:c>
      <x:c r="L91" s="75" t="n">
        <x:v>0.025</x:v>
      </x:c>
      <x:c r="M91" s="75" t="n">
        <x:f>IF(OR(J91="",K91=""),"",J91/(2*(1+K91)))</x:f>
        <x:v>0.5416666666666667</x:v>
      </x:c>
      <x:c r="N91" s="76" t="n">
        <x:f>IF(OR(J91="",H91="",K91=""),"",SQRT(J91*1000000000*(1-K91)/(H91*(1+K91)*(1-2*K91))))</x:f>
        <x:v>1900.29237516523</x:v>
      </x:c>
      <x:c r="O91" s="75" t="n">
        <x:f>IF(OR(H91="",N91=""),"",H91*N91/1000000)</x:f>
        <x:v>0.7601169500660919</x:v>
      </x:c>
      <x:c r="P91" s="74" t="n">
        <x:f>IF(OR(J91="",G91="",K91=""),"",J91*1000000000*(G91/1000)^3/(12*(1-K91^2)))</x:f>
        <x:v>1285400.3906250002</x:v>
      </x:c>
      <x:c r="Q91" s="76" t="n">
        <x:f>IF(OR(I91="",P91=""),"",343.2^2/(2*PI())*SQRT(I91/P91))</x:f>
        <x:v>156.86163265323893</x:v>
      </x:c>
      <x:c r="R91" s="58" t="n">
        <x:v>3</x:v>
      </x:c>
      <x:c r="S91" s="62" t="n">
        <x:v>0.09</x:v>
      </x:c>
      <x:c r="T91" s="46" t="str">
        <x:v>20 °C / kuru nominal</x:v>
      </x:c>
      <x:c r="U91" s="46" t="str">
        <x:v>ORTA</x:v>
      </x:c>
      <x:c r="V91" s="46" t="str">
        <x:v>https://storefrontapi.commerce.xella.com/occ/v2/at/catalogs/atContentCatalog/versions/Online/xellamedia/Ytong-BAU-EPD-Porenbetonsteine.pdf</x:v>
      </x:c>
      <x:c r="W91" s="50" t="str">
        <x:v>Xella EPD aralığına oturtulmuş nominal sınıf: ρ=300–650 kg/m³, E≈750–3250 MPa, basınç dayanımı≈2.2–6.5 MPa. Gerçek ürün sınıfı ve nem için doğrulayın.</x:v>
      </x:c>
    </x:row>
    <x:row r="92">
      <x:c r="A92" s="46" t="str">
        <x:v>AAC-D400-T250</x:v>
      </x:c>
      <x:c r="B92" s="46" t="str">
        <x:v>AAC / Gazbeton</x:v>
      </x:c>
      <x:c r="C92" s="46" t="str">
        <x:v>Nominal kuru yoğunluk sınıfı 400 kg/m³</x:v>
      </x:c>
      <x:c r="D92" s="46" t="str">
        <x:v>GENERIC</x:v>
      </x:c>
      <x:c r="E92" s="46" t="str">
        <x:v>AAC D400</x:v>
      </x:c>
      <x:c r="F92" s="70" t="str">
        <x:v>RANGE_ANCHORED_ENGINEERING</x:v>
      </x:c>
      <x:c r="G92" s="54" t="n">
        <x:v>250</x:v>
      </x:c>
      <x:c r="H92" s="54" t="n">
        <x:v>400</x:v>
      </x:c>
      <x:c r="I92" s="74" t="n">
        <x:f>IF(OR(G92="",H92=""),"",G92/1000*H92)</x:f>
        <x:v>100</x:v>
      </x:c>
      <x:c r="J92" s="75" t="n">
        <x:v>1.3</x:v>
      </x:c>
      <x:c r="K92" s="75" t="n">
        <x:v>0.2</x:v>
      </x:c>
      <x:c r="L92" s="75" t="n">
        <x:v>0.025</x:v>
      </x:c>
      <x:c r="M92" s="75" t="n">
        <x:f>IF(OR(J92="",K92=""),"",J92/(2*(1+K92)))</x:f>
        <x:v>0.5416666666666667</x:v>
      </x:c>
      <x:c r="N92" s="76" t="n">
        <x:f>IF(OR(J92="",H92="",K92=""),"",SQRT(J92*1000000000*(1-K92)/(H92*(1+K92)*(1-2*K92))))</x:f>
        <x:v>1900.29237516523</x:v>
      </x:c>
      <x:c r="O92" s="75" t="n">
        <x:f>IF(OR(H92="",N92=""),"",H92*N92/1000000)</x:f>
        <x:v>0.7601169500660919</x:v>
      </x:c>
      <x:c r="P92" s="74" t="n">
        <x:f>IF(OR(J92="",G92="",K92=""),"",J92*1000000000*(G92/1000)^3/(12*(1-K92^2)))</x:f>
        <x:v>1763237.8472222222</x:v>
      </x:c>
      <x:c r="Q92" s="76" t="n">
        <x:f>IF(OR(I92="",P92=""),"",343.2^2/(2*PI())*SQRT(I92/P92))</x:f>
        <x:v>141.17546938791506</x:v>
      </x:c>
      <x:c r="R92" s="58" t="n">
        <x:v>3</x:v>
      </x:c>
      <x:c r="S92" s="62" t="n">
        <x:v>0.09</x:v>
      </x:c>
      <x:c r="T92" s="46" t="str">
        <x:v>20 °C / kuru nominal</x:v>
      </x:c>
      <x:c r="U92" s="46" t="str">
        <x:v>ORTA</x:v>
      </x:c>
      <x:c r="V92" s="46" t="str">
        <x:v>https://storefrontapi.commerce.xella.com/occ/v2/at/catalogs/atContentCatalog/versions/Online/xellamedia/Ytong-BAU-EPD-Porenbetonsteine.pdf</x:v>
      </x:c>
      <x:c r="W92" s="50" t="str">
        <x:v>Xella EPD aralığına oturtulmuş nominal sınıf: ρ=300–650 kg/m³, E≈750–3250 MPa, basınç dayanımı≈2.2–6.5 MPa. Gerçek ürün sınıfı ve nem için doğrulayın.</x:v>
      </x:c>
    </x:row>
    <x:row r="93">
      <x:c r="A93" s="46" t="str">
        <x:v>AAC-D400-T300</x:v>
      </x:c>
      <x:c r="B93" s="46" t="str">
        <x:v>AAC / Gazbeton</x:v>
      </x:c>
      <x:c r="C93" s="46" t="str">
        <x:v>Nominal kuru yoğunluk sınıfı 400 kg/m³</x:v>
      </x:c>
      <x:c r="D93" s="46" t="str">
        <x:v>GENERIC</x:v>
      </x:c>
      <x:c r="E93" s="46" t="str">
        <x:v>AAC D400</x:v>
      </x:c>
      <x:c r="F93" s="70" t="str">
        <x:v>RANGE_ANCHORED_ENGINEERING</x:v>
      </x:c>
      <x:c r="G93" s="54" t="n">
        <x:v>300</x:v>
      </x:c>
      <x:c r="H93" s="54" t="n">
        <x:v>400</x:v>
      </x:c>
      <x:c r="I93" s="74" t="n">
        <x:f>IF(OR(G93="",H93=""),"",G93/1000*H93)</x:f>
        <x:v>120</x:v>
      </x:c>
      <x:c r="J93" s="75" t="n">
        <x:v>1.3</x:v>
      </x:c>
      <x:c r="K93" s="75" t="n">
        <x:v>0.2</x:v>
      </x:c>
      <x:c r="L93" s="75" t="n">
        <x:v>0.025</x:v>
      </x:c>
      <x:c r="M93" s="75" t="n">
        <x:f>IF(OR(J93="",K93=""),"",J93/(2*(1+K93)))</x:f>
        <x:v>0.5416666666666667</x:v>
      </x:c>
      <x:c r="N93" s="76" t="n">
        <x:f>IF(OR(J93="",H93="",K93=""),"",SQRT(J93*1000000000*(1-K93)/(H93*(1+K93)*(1-2*K93))))</x:f>
        <x:v>1900.29237516523</x:v>
      </x:c>
      <x:c r="O93" s="75" t="n">
        <x:f>IF(OR(H93="",N93=""),"",H93*N93/1000000)</x:f>
        <x:v>0.7601169500660919</x:v>
      </x:c>
      <x:c r="P93" s="74" t="n">
        <x:f>IF(OR(J93="",G93="",K93=""),"",J93*1000000000*(G93/1000)^3/(12*(1-K93^2)))</x:f>
        <x:v>3046875</x:v>
      </x:c>
      <x:c r="Q93" s="76" t="n">
        <x:f>IF(OR(I93="",P93=""),"",343.2^2/(2*PI())*SQRT(I93/P93))</x:f>
        <x:v>117.64622448992921</x:v>
      </x:c>
      <x:c r="R93" s="58" t="n">
        <x:v>3</x:v>
      </x:c>
      <x:c r="S93" s="62" t="n">
        <x:v>0.09</x:v>
      </x:c>
      <x:c r="T93" s="46" t="str">
        <x:v>20 °C / kuru nominal</x:v>
      </x:c>
      <x:c r="U93" s="46" t="str">
        <x:v>ORTA</x:v>
      </x:c>
      <x:c r="V93" s="46" t="str">
        <x:v>https://storefrontapi.commerce.xella.com/occ/v2/at/catalogs/atContentCatalog/versions/Online/xellamedia/Ytong-BAU-EPD-Porenbetonsteine.pdf</x:v>
      </x:c>
      <x:c r="W93" s="50" t="str">
        <x:v>Xella EPD aralığına oturtulmuş nominal sınıf: ρ=300–650 kg/m³, E≈750–3250 MPa, basınç dayanımı≈2.2–6.5 MPa. Gerçek ürün sınıfı ve nem için doğrulayın.</x:v>
      </x:c>
    </x:row>
    <x:row r="94">
      <x:c r="A94" s="46" t="str">
        <x:v>AAC-D400-T375</x:v>
      </x:c>
      <x:c r="B94" s="46" t="str">
        <x:v>AAC / Gazbeton</x:v>
      </x:c>
      <x:c r="C94" s="46" t="str">
        <x:v>Nominal kuru yoğunluk sınıfı 400 kg/m³</x:v>
      </x:c>
      <x:c r="D94" s="46" t="str">
        <x:v>GENERIC</x:v>
      </x:c>
      <x:c r="E94" s="46" t="str">
        <x:v>AAC D400</x:v>
      </x:c>
      <x:c r="F94" s="70" t="str">
        <x:v>RANGE_ANCHORED_ENGINEERING</x:v>
      </x:c>
      <x:c r="G94" s="54" t="n">
        <x:v>375</x:v>
      </x:c>
      <x:c r="H94" s="54" t="n">
        <x:v>400</x:v>
      </x:c>
      <x:c r="I94" s="74" t="n">
        <x:f>IF(OR(G94="",H94=""),"",G94/1000*H94)</x:f>
        <x:v>150</x:v>
      </x:c>
      <x:c r="J94" s="75" t="n">
        <x:v>1.3</x:v>
      </x:c>
      <x:c r="K94" s="75" t="n">
        <x:v>0.2</x:v>
      </x:c>
      <x:c r="L94" s="75" t="n">
        <x:v>0.025</x:v>
      </x:c>
      <x:c r="M94" s="75" t="n">
        <x:f>IF(OR(J94="",K94=""),"",J94/(2*(1+K94)))</x:f>
        <x:v>0.5416666666666667</x:v>
      </x:c>
      <x:c r="N94" s="76" t="n">
        <x:f>IF(OR(J94="",H94="",K94=""),"",SQRT(J94*1000000000*(1-K94)/(H94*(1+K94)*(1-2*K94))))</x:f>
        <x:v>1900.29237516523</x:v>
      </x:c>
      <x:c r="O94" s="75" t="n">
        <x:f>IF(OR(H94="",N94=""),"",H94*N94/1000000)</x:f>
        <x:v>0.7601169500660919</x:v>
      </x:c>
      <x:c r="P94" s="74" t="n">
        <x:f>IF(OR(J94="",G94="",K94=""),"",J94*1000000000*(G94/1000)^3/(12*(1-K94^2)))</x:f>
        <x:v>5950927.734375</x:v>
      </x:c>
      <x:c r="Q94" s="76" t="n">
        <x:f>IF(OR(I94="",P94=""),"",343.2^2/(2*PI())*SQRT(I94/P94))</x:f>
        <x:v>94.11697959194338</x:v>
      </x:c>
      <x:c r="R94" s="58" t="n">
        <x:v>3</x:v>
      </x:c>
      <x:c r="S94" s="62" t="n">
        <x:v>0.09</x:v>
      </x:c>
      <x:c r="T94" s="46" t="str">
        <x:v>20 °C / kuru nominal</x:v>
      </x:c>
      <x:c r="U94" s="46" t="str">
        <x:v>ORTA</x:v>
      </x:c>
      <x:c r="V94" s="46" t="str">
        <x:v>https://storefrontapi.commerce.xella.com/occ/v2/at/catalogs/atContentCatalog/versions/Online/xellamedia/Ytong-BAU-EPD-Porenbetonsteine.pdf</x:v>
      </x:c>
      <x:c r="W94" s="50" t="str">
        <x:v>Xella EPD aralığına oturtulmuş nominal sınıf: ρ=300–650 kg/m³, E≈750–3250 MPa, basınç dayanımı≈2.2–6.5 MPa. Gerçek ürün sınıfı ve nem için doğrulayın.</x:v>
      </x:c>
    </x:row>
    <x:row r="95">
      <x:c r="A95" s="46" t="str">
        <x:v>AAC-D400-T450</x:v>
      </x:c>
      <x:c r="B95" s="46" t="str">
        <x:v>AAC / Gazbeton</x:v>
      </x:c>
      <x:c r="C95" s="46" t="str">
        <x:v>Nominal kuru yoğunluk sınıfı 400 kg/m³</x:v>
      </x:c>
      <x:c r="D95" s="46" t="str">
        <x:v>GENERIC</x:v>
      </x:c>
      <x:c r="E95" s="46" t="str">
        <x:v>AAC D400</x:v>
      </x:c>
      <x:c r="F95" s="70" t="str">
        <x:v>RANGE_ANCHORED_ENGINEERING</x:v>
      </x:c>
      <x:c r="G95" s="54" t="n">
        <x:v>450</x:v>
      </x:c>
      <x:c r="H95" s="54" t="n">
        <x:v>400</x:v>
      </x:c>
      <x:c r="I95" s="74" t="n">
        <x:f>IF(OR(G95="",H95=""),"",G95/1000*H95)</x:f>
        <x:v>180</x:v>
      </x:c>
      <x:c r="J95" s="75" t="n">
        <x:v>1.3</x:v>
      </x:c>
      <x:c r="K95" s="75" t="n">
        <x:v>0.2</x:v>
      </x:c>
      <x:c r="L95" s="75" t="n">
        <x:v>0.025</x:v>
      </x:c>
      <x:c r="M95" s="75" t="n">
        <x:f>IF(OR(J95="",K95=""),"",J95/(2*(1+K95)))</x:f>
        <x:v>0.5416666666666667</x:v>
      </x:c>
      <x:c r="N95" s="76" t="n">
        <x:f>IF(OR(J95="",H95="",K95=""),"",SQRT(J95*1000000000*(1-K95)/(H95*(1+K95)*(1-2*K95))))</x:f>
        <x:v>1900.29237516523</x:v>
      </x:c>
      <x:c r="O95" s="75" t="n">
        <x:f>IF(OR(H95="",N95=""),"",H95*N95/1000000)</x:f>
        <x:v>0.7601169500660919</x:v>
      </x:c>
      <x:c r="P95" s="74" t="n">
        <x:f>IF(OR(J95="",G95="",K95=""),"",J95*1000000000*(G95/1000)^3/(12*(1-K95^2)))</x:f>
        <x:v>10283203.125000002</x:v>
      </x:c>
      <x:c r="Q95" s="76" t="n">
        <x:f>IF(OR(I95="",P95=""),"",343.2^2/(2*PI())*SQRT(I95/P95))</x:f>
        <x:v>78.43081632661946</x:v>
      </x:c>
      <x:c r="R95" s="58" t="n">
        <x:v>3</x:v>
      </x:c>
      <x:c r="S95" s="62" t="n">
        <x:v>0.09</x:v>
      </x:c>
      <x:c r="T95" s="46" t="str">
        <x:v>20 °C / kuru nominal</x:v>
      </x:c>
      <x:c r="U95" s="46" t="str">
        <x:v>ORTA</x:v>
      </x:c>
      <x:c r="V95" s="46" t="str">
        <x:v>https://storefrontapi.commerce.xella.com/occ/v2/at/catalogs/atContentCatalog/versions/Online/xellamedia/Ytong-BAU-EPD-Porenbetonsteine.pdf</x:v>
      </x:c>
      <x:c r="W95" s="50" t="str">
        <x:v>Xella EPD aralığına oturtulmuş nominal sınıf: ρ=300–650 kg/m³, E≈750–3250 MPa, basınç dayanımı≈2.2–6.5 MPa. Gerçek ürün sınıfı ve nem için doğrulayın.</x:v>
      </x:c>
    </x:row>
    <x:row r="96">
      <x:c r="A96" s="46" t="str">
        <x:v>AAC-D400-T500</x:v>
      </x:c>
      <x:c r="B96" s="46" t="str">
        <x:v>AAC / Gazbeton</x:v>
      </x:c>
      <x:c r="C96" s="46" t="str">
        <x:v>Nominal kuru yoğunluk sınıfı 400 kg/m³</x:v>
      </x:c>
      <x:c r="D96" s="46" t="str">
        <x:v>GENERIC</x:v>
      </x:c>
      <x:c r="E96" s="46" t="str">
        <x:v>AAC D400</x:v>
      </x:c>
      <x:c r="F96" s="70" t="str">
        <x:v>RANGE_ANCHORED_ENGINEERING</x:v>
      </x:c>
      <x:c r="G96" s="54" t="n">
        <x:v>500</x:v>
      </x:c>
      <x:c r="H96" s="54" t="n">
        <x:v>400</x:v>
      </x:c>
      <x:c r="I96" s="74" t="n">
        <x:f>IF(OR(G96="",H96=""),"",G96/1000*H96)</x:f>
        <x:v>200</x:v>
      </x:c>
      <x:c r="J96" s="75" t="n">
        <x:v>1.3</x:v>
      </x:c>
      <x:c r="K96" s="75" t="n">
        <x:v>0.2</x:v>
      </x:c>
      <x:c r="L96" s="75" t="n">
        <x:v>0.025</x:v>
      </x:c>
      <x:c r="M96" s="75" t="n">
        <x:f>IF(OR(J96="",K96=""),"",J96/(2*(1+K96)))</x:f>
        <x:v>0.5416666666666667</x:v>
      </x:c>
      <x:c r="N96" s="76" t="n">
        <x:f>IF(OR(J96="",H96="",K96=""),"",SQRT(J96*1000000000*(1-K96)/(H96*(1+K96)*(1-2*K96))))</x:f>
        <x:v>1900.29237516523</x:v>
      </x:c>
      <x:c r="O96" s="75" t="n">
        <x:f>IF(OR(H96="",N96=""),"",H96*N96/1000000)</x:f>
        <x:v>0.7601169500660919</x:v>
      </x:c>
      <x:c r="P96" s="74" t="n">
        <x:f>IF(OR(J96="",G96="",K96=""),"",J96*1000000000*(G96/1000)^3/(12*(1-K96^2)))</x:f>
        <x:v>14105902.777777778</x:v>
      </x:c>
      <x:c r="Q96" s="76" t="n">
        <x:f>IF(OR(I96="",P96=""),"",343.2^2/(2*PI())*SQRT(I96/P96))</x:f>
        <x:v>70.58773469395753</x:v>
      </x:c>
      <x:c r="R96" s="58" t="n">
        <x:v>3</x:v>
      </x:c>
      <x:c r="S96" s="62" t="n">
        <x:v>0.09</x:v>
      </x:c>
      <x:c r="T96" s="46" t="str">
        <x:v>20 °C / kuru nominal</x:v>
      </x:c>
      <x:c r="U96" s="46" t="str">
        <x:v>ORTA</x:v>
      </x:c>
      <x:c r="V96" s="46" t="str">
        <x:v>https://storefrontapi.commerce.xella.com/occ/v2/at/catalogs/atContentCatalog/versions/Online/xellamedia/Ytong-BAU-EPD-Porenbetonsteine.pdf</x:v>
      </x:c>
      <x:c r="W96" s="50" t="str">
        <x:v>Xella EPD aralığına oturtulmuş nominal sınıf: ρ=300–650 kg/m³, E≈750–3250 MPa, basınç dayanımı≈2.2–6.5 MPa. Gerçek ürün sınıfı ve nem için doğrulayın.</x:v>
      </x:c>
    </x:row>
    <x:row r="97">
      <x:c r="A97" s="46" t="str">
        <x:v>AAC-D450-T50</x:v>
      </x:c>
      <x:c r="B97" s="46" t="str">
        <x:v>AAC / Gazbeton</x:v>
      </x:c>
      <x:c r="C97" s="46" t="str">
        <x:v>Nominal kuru yoğunluk sınıfı 450 kg/m³</x:v>
      </x:c>
      <x:c r="D97" s="46" t="str">
        <x:v>GENERIC</x:v>
      </x:c>
      <x:c r="E97" s="46" t="str">
        <x:v>AAC D450</x:v>
      </x:c>
      <x:c r="F97" s="70" t="str">
        <x:v>RANGE_ANCHORED_ENGINEERING</x:v>
      </x:c>
      <x:c r="G97" s="54" t="n">
        <x:v>50</x:v>
      </x:c>
      <x:c r="H97" s="54" t="n">
        <x:v>450</x:v>
      </x:c>
      <x:c r="I97" s="74" t="n">
        <x:f>IF(OR(G97="",H97=""),"",G97/1000*H97)</x:f>
        <x:v>22.5</x:v>
      </x:c>
      <x:c r="J97" s="75" t="n">
        <x:v>1.6</x:v>
      </x:c>
      <x:c r="K97" s="75" t="n">
        <x:v>0.2</x:v>
      </x:c>
      <x:c r="L97" s="75" t="n">
        <x:v>0.025</x:v>
      </x:c>
      <x:c r="M97" s="75" t="n">
        <x:f>IF(OR(J97="",K97=""),"",J97/(2*(1+K97)))</x:f>
        <x:v>0.6666666666666667</x:v>
      </x:c>
      <x:c r="N97" s="76" t="n">
        <x:f>IF(OR(J97="",H97="",K97=""),"",SQRT(J97*1000000000*(1-K97)/(H97*(1+K97)*(1-2*K97))))</x:f>
        <x:v>1987.615979999813</x:v>
      </x:c>
      <x:c r="O97" s="75" t="n">
        <x:f>IF(OR(H97="",N97=""),"",H97*N97/1000000)</x:f>
        <x:v>0.8944271909999159</x:v>
      </x:c>
      <x:c r="P97" s="74" t="n">
        <x:f>IF(OR(J97="",G97="",K97=""),"",J97*1000000000*(G97/1000)^3/(12*(1-K97^2)))</x:f>
        <x:v>17361.111111111117</x:v>
      </x:c>
      <x:c r="Q97" s="76" t="n">
        <x:f>IF(OR(I97="",P97=""),"",343.2^2/(2*PI())*SQRT(I97/P97))</x:f>
        <x:v>674.8654436714996</x:v>
      </x:c>
      <x:c r="R97" s="58" t="n">
        <x:v>3.4</x:v>
      </x:c>
      <x:c r="S97" s="62" t="n">
        <x:v>0.1</x:v>
      </x:c>
      <x:c r="T97" s="46" t="str">
        <x:v>20 °C / kuru nominal</x:v>
      </x:c>
      <x:c r="U97" s="46" t="str">
        <x:v>ORTA</x:v>
      </x:c>
      <x:c r="V97" s="46" t="str">
        <x:v>https://storefrontapi.commerce.xella.com/occ/v2/at/catalogs/atContentCatalog/versions/Online/xellamedia/Ytong-BAU-EPD-Porenbetonsteine.pdf</x:v>
      </x:c>
      <x:c r="W97" s="50" t="str">
        <x:v>Xella EPD aralığına oturtulmuş nominal sınıf: ρ=300–650 kg/m³, E≈750–3250 MPa, basınç dayanımı≈2.2–6.5 MPa. Gerçek ürün sınıfı ve nem için doğrulayın.</x:v>
      </x:c>
    </x:row>
    <x:row r="98">
      <x:c r="A98" s="46" t="str">
        <x:v>AAC-D450-T75</x:v>
      </x:c>
      <x:c r="B98" s="46" t="str">
        <x:v>AAC / Gazbeton</x:v>
      </x:c>
      <x:c r="C98" s="46" t="str">
        <x:v>Nominal kuru yoğunluk sınıfı 450 kg/m³</x:v>
      </x:c>
      <x:c r="D98" s="46" t="str">
        <x:v>GENERIC</x:v>
      </x:c>
      <x:c r="E98" s="46" t="str">
        <x:v>AAC D450</x:v>
      </x:c>
      <x:c r="F98" s="70" t="str">
        <x:v>RANGE_ANCHORED_ENGINEERING</x:v>
      </x:c>
      <x:c r="G98" s="54" t="n">
        <x:v>75</x:v>
      </x:c>
      <x:c r="H98" s="54" t="n">
        <x:v>450</x:v>
      </x:c>
      <x:c r="I98" s="74" t="n">
        <x:f>IF(OR(G98="",H98=""),"",G98/1000*H98)</x:f>
        <x:v>33.75</x:v>
      </x:c>
      <x:c r="J98" s="75" t="n">
        <x:v>1.6</x:v>
      </x:c>
      <x:c r="K98" s="75" t="n">
        <x:v>0.2</x:v>
      </x:c>
      <x:c r="L98" s="75" t="n">
        <x:v>0.025</x:v>
      </x:c>
      <x:c r="M98" s="75" t="n">
        <x:f>IF(OR(J98="",K98=""),"",J98/(2*(1+K98)))</x:f>
        <x:v>0.6666666666666667</x:v>
      </x:c>
      <x:c r="N98" s="76" t="n">
        <x:f>IF(OR(J98="",H98="",K98=""),"",SQRT(J98*1000000000*(1-K98)/(H98*(1+K98)*(1-2*K98))))</x:f>
        <x:v>1987.615979999813</x:v>
      </x:c>
      <x:c r="O98" s="75" t="n">
        <x:f>IF(OR(H98="",N98=""),"",H98*N98/1000000)</x:f>
        <x:v>0.8944271909999159</x:v>
      </x:c>
      <x:c r="P98" s="74" t="n">
        <x:f>IF(OR(J98="",G98="",K98=""),"",J98*1000000000*(G98/1000)^3/(12*(1-K98^2)))</x:f>
        <x:v>58593.75</x:v>
      </x:c>
      <x:c r="Q98" s="76" t="n">
        <x:f>IF(OR(I98="",P98=""),"",343.2^2/(2*PI())*SQRT(I98/P98))</x:f>
        <x:v>449.9102957809998</x:v>
      </x:c>
      <x:c r="R98" s="58" t="n">
        <x:v>3.4</x:v>
      </x:c>
      <x:c r="S98" s="62" t="n">
        <x:v>0.1</x:v>
      </x:c>
      <x:c r="T98" s="46" t="str">
        <x:v>20 °C / kuru nominal</x:v>
      </x:c>
      <x:c r="U98" s="46" t="str">
        <x:v>ORTA</x:v>
      </x:c>
      <x:c r="V98" s="46" t="str">
        <x:v>https://storefrontapi.commerce.xella.com/occ/v2/at/catalogs/atContentCatalog/versions/Online/xellamedia/Ytong-BAU-EPD-Porenbetonsteine.pdf</x:v>
      </x:c>
      <x:c r="W98" s="50" t="str">
        <x:v>Xella EPD aralığına oturtulmuş nominal sınıf: ρ=300–650 kg/m³, E≈750–3250 MPa, basınç dayanımı≈2.2–6.5 MPa. Gerçek ürün sınıfı ve nem için doğrulayın.</x:v>
      </x:c>
    </x:row>
    <x:row r="99">
      <x:c r="A99" s="46" t="str">
        <x:v>AAC-D450-T100</x:v>
      </x:c>
      <x:c r="B99" s="46" t="str">
        <x:v>AAC / Gazbeton</x:v>
      </x:c>
      <x:c r="C99" s="46" t="str">
        <x:v>Nominal kuru yoğunluk sınıfı 450 kg/m³</x:v>
      </x:c>
      <x:c r="D99" s="46" t="str">
        <x:v>GENERIC</x:v>
      </x:c>
      <x:c r="E99" s="46" t="str">
        <x:v>AAC D450</x:v>
      </x:c>
      <x:c r="F99" s="70" t="str">
        <x:v>RANGE_ANCHORED_ENGINEERING</x:v>
      </x:c>
      <x:c r="G99" s="54" t="n">
        <x:v>100</x:v>
      </x:c>
      <x:c r="H99" s="54" t="n">
        <x:v>450</x:v>
      </x:c>
      <x:c r="I99" s="74" t="n">
        <x:f>IF(OR(G99="",H99=""),"",G99/1000*H99)</x:f>
        <x:v>45</x:v>
      </x:c>
      <x:c r="J99" s="75" t="n">
        <x:v>1.6</x:v>
      </x:c>
      <x:c r="K99" s="75" t="n">
        <x:v>0.2</x:v>
      </x:c>
      <x:c r="L99" s="75" t="n">
        <x:v>0.025</x:v>
      </x:c>
      <x:c r="M99" s="75" t="n">
        <x:f>IF(OR(J99="",K99=""),"",J99/(2*(1+K99)))</x:f>
        <x:v>0.6666666666666667</x:v>
      </x:c>
      <x:c r="N99" s="76" t="n">
        <x:f>IF(OR(J99="",H99="",K99=""),"",SQRT(J99*1000000000*(1-K99)/(H99*(1+K99)*(1-2*K99))))</x:f>
        <x:v>1987.615979999813</x:v>
      </x:c>
      <x:c r="O99" s="75" t="n">
        <x:f>IF(OR(H99="",N99=""),"",H99*N99/1000000)</x:f>
        <x:v>0.8944271909999159</x:v>
      </x:c>
      <x:c r="P99" s="74" t="n">
        <x:f>IF(OR(J99="",G99="",K99=""),"",J99*1000000000*(G99/1000)^3/(12*(1-K99^2)))</x:f>
        <x:v>138888.88888888893</x:v>
      </x:c>
      <x:c r="Q99" s="76" t="n">
        <x:f>IF(OR(I99="",P99=""),"",343.2^2/(2*PI())*SQRT(I99/P99))</x:f>
        <x:v>337.4327218357498</x:v>
      </x:c>
      <x:c r="R99" s="58" t="n">
        <x:v>3.4</x:v>
      </x:c>
      <x:c r="S99" s="62" t="n">
        <x:v>0.1</x:v>
      </x:c>
      <x:c r="T99" s="46" t="str">
        <x:v>20 °C / kuru nominal</x:v>
      </x:c>
      <x:c r="U99" s="46" t="str">
        <x:v>ORTA</x:v>
      </x:c>
      <x:c r="V99" s="46" t="str">
        <x:v>https://storefrontapi.commerce.xella.com/occ/v2/at/catalogs/atContentCatalog/versions/Online/xellamedia/Ytong-BAU-EPD-Porenbetonsteine.pdf</x:v>
      </x:c>
      <x:c r="W99" s="50" t="str">
        <x:v>Xella EPD aralığına oturtulmuş nominal sınıf: ρ=300–650 kg/m³, E≈750–3250 MPa, basınç dayanımı≈2.2–6.5 MPa. Gerçek ürün sınıfı ve nem için doğrulayın.</x:v>
      </x:c>
    </x:row>
    <x:row r="100">
      <x:c r="A100" s="46" t="str">
        <x:v>AAC-D450-T125</x:v>
      </x:c>
      <x:c r="B100" s="46" t="str">
        <x:v>AAC / Gazbeton</x:v>
      </x:c>
      <x:c r="C100" s="46" t="str">
        <x:v>Nominal kuru yoğunluk sınıfı 450 kg/m³</x:v>
      </x:c>
      <x:c r="D100" s="46" t="str">
        <x:v>GENERIC</x:v>
      </x:c>
      <x:c r="E100" s="46" t="str">
        <x:v>AAC D450</x:v>
      </x:c>
      <x:c r="F100" s="70" t="str">
        <x:v>RANGE_ANCHORED_ENGINEERING</x:v>
      </x:c>
      <x:c r="G100" s="54" t="n">
        <x:v>125</x:v>
      </x:c>
      <x:c r="H100" s="54" t="n">
        <x:v>450</x:v>
      </x:c>
      <x:c r="I100" s="74" t="n">
        <x:f>IF(OR(G100="",H100=""),"",G100/1000*H100)</x:f>
        <x:v>56.25</x:v>
      </x:c>
      <x:c r="J100" s="75" t="n">
        <x:v>1.6</x:v>
      </x:c>
      <x:c r="K100" s="75" t="n">
        <x:v>0.2</x:v>
      </x:c>
      <x:c r="L100" s="75" t="n">
        <x:v>0.025</x:v>
      </x:c>
      <x:c r="M100" s="75" t="n">
        <x:f>IF(OR(J100="",K100=""),"",J100/(2*(1+K100)))</x:f>
        <x:v>0.6666666666666667</x:v>
      </x:c>
      <x:c r="N100" s="76" t="n">
        <x:f>IF(OR(J100="",H100="",K100=""),"",SQRT(J100*1000000000*(1-K100)/(H100*(1+K100)*(1-2*K100))))</x:f>
        <x:v>1987.615979999813</x:v>
      </x:c>
      <x:c r="O100" s="75" t="n">
        <x:f>IF(OR(H100="",N100=""),"",H100*N100/1000000)</x:f>
        <x:v>0.8944271909999159</x:v>
      </x:c>
      <x:c r="P100" s="74" t="n">
        <x:f>IF(OR(J100="",G100="",K100=""),"",J100*1000000000*(G100/1000)^3/(12*(1-K100^2)))</x:f>
        <x:v>271267.3611111111</x:v>
      </x:c>
      <x:c r="Q100" s="76" t="n">
        <x:f>IF(OR(I100="",P100=""),"",343.2^2/(2*PI())*SQRT(I100/P100))</x:f>
        <x:v>269.94617746859984</x:v>
      </x:c>
      <x:c r="R100" s="58" t="n">
        <x:v>3.4</x:v>
      </x:c>
      <x:c r="S100" s="62" t="n">
        <x:v>0.1</x:v>
      </x:c>
      <x:c r="T100" s="46" t="str">
        <x:v>20 °C / kuru nominal</x:v>
      </x:c>
      <x:c r="U100" s="46" t="str">
        <x:v>ORTA</x:v>
      </x:c>
      <x:c r="V100" s="46" t="str">
        <x:v>https://storefrontapi.commerce.xella.com/occ/v2/at/catalogs/atContentCatalog/versions/Online/xellamedia/Ytong-BAU-EPD-Porenbetonsteine.pdf</x:v>
      </x:c>
      <x:c r="W100" s="50" t="str">
        <x:v>Xella EPD aralığına oturtulmuş nominal sınıf: ρ=300–650 kg/m³, E≈750–3250 MPa, basınç dayanımı≈2.2–6.5 MPa. Gerçek ürün sınıfı ve nem için doğrulayın.</x:v>
      </x:c>
    </x:row>
    <x:row r="101">
      <x:c r="A101" s="46" t="str">
        <x:v>AAC-D450-T150</x:v>
      </x:c>
      <x:c r="B101" s="46" t="str">
        <x:v>AAC / Gazbeton</x:v>
      </x:c>
      <x:c r="C101" s="46" t="str">
        <x:v>Nominal kuru yoğunluk sınıfı 450 kg/m³</x:v>
      </x:c>
      <x:c r="D101" s="46" t="str">
        <x:v>GENERIC</x:v>
      </x:c>
      <x:c r="E101" s="46" t="str">
        <x:v>AAC D450</x:v>
      </x:c>
      <x:c r="F101" s="70" t="str">
        <x:v>RANGE_ANCHORED_ENGINEERING</x:v>
      </x:c>
      <x:c r="G101" s="54" t="n">
        <x:v>150</x:v>
      </x:c>
      <x:c r="H101" s="54" t="n">
        <x:v>450</x:v>
      </x:c>
      <x:c r="I101" s="74" t="n">
        <x:f>IF(OR(G101="",H101=""),"",G101/1000*H101)</x:f>
        <x:v>67.5</x:v>
      </x:c>
      <x:c r="J101" s="75" t="n">
        <x:v>1.6</x:v>
      </x:c>
      <x:c r="K101" s="75" t="n">
        <x:v>0.2</x:v>
      </x:c>
      <x:c r="L101" s="75" t="n">
        <x:v>0.025</x:v>
      </x:c>
      <x:c r="M101" s="75" t="n">
        <x:f>IF(OR(J101="",K101=""),"",J101/(2*(1+K101)))</x:f>
        <x:v>0.6666666666666667</x:v>
      </x:c>
      <x:c r="N101" s="76" t="n">
        <x:f>IF(OR(J101="",H101="",K101=""),"",SQRT(J101*1000000000*(1-K101)/(H101*(1+K101)*(1-2*K101))))</x:f>
        <x:v>1987.615979999813</x:v>
      </x:c>
      <x:c r="O101" s="75" t="n">
        <x:f>IF(OR(H101="",N101=""),"",H101*N101/1000000)</x:f>
        <x:v>0.8944271909999159</x:v>
      </x:c>
      <x:c r="P101" s="74" t="n">
        <x:f>IF(OR(J101="",G101="",K101=""),"",J101*1000000000*(G101/1000)^3/(12*(1-K101^2)))</x:f>
        <x:v>468750</x:v>
      </x:c>
      <x:c r="Q101" s="76" t="n">
        <x:f>IF(OR(I101="",P101=""),"",343.2^2/(2*PI())*SQRT(I101/P101))</x:f>
        <x:v>224.9551478904999</x:v>
      </x:c>
      <x:c r="R101" s="58" t="n">
        <x:v>3.4</x:v>
      </x:c>
      <x:c r="S101" s="62" t="n">
        <x:v>0.1</x:v>
      </x:c>
      <x:c r="T101" s="46" t="str">
        <x:v>20 °C / kuru nominal</x:v>
      </x:c>
      <x:c r="U101" s="46" t="str">
        <x:v>ORTA</x:v>
      </x:c>
      <x:c r="V101" s="46" t="str">
        <x:v>https://storefrontapi.commerce.xella.com/occ/v2/at/catalogs/atContentCatalog/versions/Online/xellamedia/Ytong-BAU-EPD-Porenbetonsteine.pdf</x:v>
      </x:c>
      <x:c r="W101" s="50" t="str">
        <x:v>Xella EPD aralığına oturtulmuş nominal sınıf: ρ=300–650 kg/m³, E≈750–3250 MPa, basınç dayanımı≈2.2–6.5 MPa. Gerçek ürün sınıfı ve nem için doğrulayın.</x:v>
      </x:c>
    </x:row>
    <x:row r="102">
      <x:c r="A102" s="46" t="str">
        <x:v>AAC-D450-T175</x:v>
      </x:c>
      <x:c r="B102" s="46" t="str">
        <x:v>AAC / Gazbeton</x:v>
      </x:c>
      <x:c r="C102" s="46" t="str">
        <x:v>Nominal kuru yoğunluk sınıfı 450 kg/m³</x:v>
      </x:c>
      <x:c r="D102" s="46" t="str">
        <x:v>GENERIC</x:v>
      </x:c>
      <x:c r="E102" s="46" t="str">
        <x:v>AAC D450</x:v>
      </x:c>
      <x:c r="F102" s="70" t="str">
        <x:v>RANGE_ANCHORED_ENGINEERING</x:v>
      </x:c>
      <x:c r="G102" s="54" t="n">
        <x:v>175</x:v>
      </x:c>
      <x:c r="H102" s="54" t="n">
        <x:v>450</x:v>
      </x:c>
      <x:c r="I102" s="74" t="n">
        <x:f>IF(OR(G102="",H102=""),"",G102/1000*H102)</x:f>
        <x:v>78.75</x:v>
      </x:c>
      <x:c r="J102" s="75" t="n">
        <x:v>1.6</x:v>
      </x:c>
      <x:c r="K102" s="75" t="n">
        <x:v>0.2</x:v>
      </x:c>
      <x:c r="L102" s="75" t="n">
        <x:v>0.025</x:v>
      </x:c>
      <x:c r="M102" s="75" t="n">
        <x:f>IF(OR(J102="",K102=""),"",J102/(2*(1+K102)))</x:f>
        <x:v>0.6666666666666667</x:v>
      </x:c>
      <x:c r="N102" s="76" t="n">
        <x:f>IF(OR(J102="",H102="",K102=""),"",SQRT(J102*1000000000*(1-K102)/(H102*(1+K102)*(1-2*K102))))</x:f>
        <x:v>1987.615979999813</x:v>
      </x:c>
      <x:c r="O102" s="75" t="n">
        <x:f>IF(OR(H102="",N102=""),"",H102*N102/1000000)</x:f>
        <x:v>0.8944271909999159</x:v>
      </x:c>
      <x:c r="P102" s="74" t="n">
        <x:f>IF(OR(J102="",G102="",K102=""),"",J102*1000000000*(G102/1000)^3/(12*(1-K102^2)))</x:f>
        <x:v>744357.6388888888</x:v>
      </x:c>
      <x:c r="Q102" s="76" t="n">
        <x:f>IF(OR(I102="",P102=""),"",343.2^2/(2*PI())*SQRT(I102/P102))</x:f>
        <x:v>192.81869819185707</x:v>
      </x:c>
      <x:c r="R102" s="58" t="n">
        <x:v>3.4</x:v>
      </x:c>
      <x:c r="S102" s="62" t="n">
        <x:v>0.1</x:v>
      </x:c>
      <x:c r="T102" s="46" t="str">
        <x:v>20 °C / kuru nominal</x:v>
      </x:c>
      <x:c r="U102" s="46" t="str">
        <x:v>ORTA</x:v>
      </x:c>
      <x:c r="V102" s="46" t="str">
        <x:v>https://storefrontapi.commerce.xella.com/occ/v2/at/catalogs/atContentCatalog/versions/Online/xellamedia/Ytong-BAU-EPD-Porenbetonsteine.pdf</x:v>
      </x:c>
      <x:c r="W102" s="50" t="str">
        <x:v>Xella EPD aralığına oturtulmuş nominal sınıf: ρ=300–650 kg/m³, E≈750–3250 MPa, basınç dayanımı≈2.2–6.5 MPa. Gerçek ürün sınıfı ve nem için doğrulayın.</x:v>
      </x:c>
    </x:row>
    <x:row r="103">
      <x:c r="A103" s="46" t="str">
        <x:v>AAC-D450-T200</x:v>
      </x:c>
      <x:c r="B103" s="46" t="str">
        <x:v>AAC / Gazbeton</x:v>
      </x:c>
      <x:c r="C103" s="46" t="str">
        <x:v>Nominal kuru yoğunluk sınıfı 450 kg/m³</x:v>
      </x:c>
      <x:c r="D103" s="46" t="str">
        <x:v>GENERIC</x:v>
      </x:c>
      <x:c r="E103" s="46" t="str">
        <x:v>AAC D450</x:v>
      </x:c>
      <x:c r="F103" s="70" t="str">
        <x:v>RANGE_ANCHORED_ENGINEERING</x:v>
      </x:c>
      <x:c r="G103" s="54" t="n">
        <x:v>200</x:v>
      </x:c>
      <x:c r="H103" s="54" t="n">
        <x:v>450</x:v>
      </x:c>
      <x:c r="I103" s="74" t="n">
        <x:f>IF(OR(G103="",H103=""),"",G103/1000*H103)</x:f>
        <x:v>90</x:v>
      </x:c>
      <x:c r="J103" s="75" t="n">
        <x:v>1.6</x:v>
      </x:c>
      <x:c r="K103" s="75" t="n">
        <x:v>0.2</x:v>
      </x:c>
      <x:c r="L103" s="75" t="n">
        <x:v>0.025</x:v>
      </x:c>
      <x:c r="M103" s="75" t="n">
        <x:f>IF(OR(J103="",K103=""),"",J103/(2*(1+K103)))</x:f>
        <x:v>0.6666666666666667</x:v>
      </x:c>
      <x:c r="N103" s="76" t="n">
        <x:f>IF(OR(J103="",H103="",K103=""),"",SQRT(J103*1000000000*(1-K103)/(H103*(1+K103)*(1-2*K103))))</x:f>
        <x:v>1987.615979999813</x:v>
      </x:c>
      <x:c r="O103" s="75" t="n">
        <x:f>IF(OR(H103="",N103=""),"",H103*N103/1000000)</x:f>
        <x:v>0.8944271909999159</x:v>
      </x:c>
      <x:c r="P103" s="74" t="n">
        <x:f>IF(OR(J103="",G103="",K103=""),"",J103*1000000000*(G103/1000)^3/(12*(1-K103^2)))</x:f>
        <x:v>1111111.1111111115</x:v>
      </x:c>
      <x:c r="Q103" s="76" t="n">
        <x:f>IF(OR(I103="",P103=""),"",343.2^2/(2*PI())*SQRT(I103/P103))</x:f>
        <x:v>168.7163609178749</x:v>
      </x:c>
      <x:c r="R103" s="58" t="n">
        <x:v>3.4</x:v>
      </x:c>
      <x:c r="S103" s="62" t="n">
        <x:v>0.1</x:v>
      </x:c>
      <x:c r="T103" s="46" t="str">
        <x:v>20 °C / kuru nominal</x:v>
      </x:c>
      <x:c r="U103" s="46" t="str">
        <x:v>ORTA</x:v>
      </x:c>
      <x:c r="V103" s="46" t="str">
        <x:v>https://storefrontapi.commerce.xella.com/occ/v2/at/catalogs/atContentCatalog/versions/Online/xellamedia/Ytong-BAU-EPD-Porenbetonsteine.pdf</x:v>
      </x:c>
      <x:c r="W103" s="50" t="str">
        <x:v>Xella EPD aralığına oturtulmuş nominal sınıf: ρ=300–650 kg/m³, E≈750–3250 MPa, basınç dayanımı≈2.2–6.5 MPa. Gerçek ürün sınıfı ve nem için doğrulayın.</x:v>
      </x:c>
    </x:row>
    <x:row r="104">
      <x:c r="A104" s="46" t="str">
        <x:v>AAC-D450-T225</x:v>
      </x:c>
      <x:c r="B104" s="46" t="str">
        <x:v>AAC / Gazbeton</x:v>
      </x:c>
      <x:c r="C104" s="46" t="str">
        <x:v>Nominal kuru yoğunluk sınıfı 450 kg/m³</x:v>
      </x:c>
      <x:c r="D104" s="46" t="str">
        <x:v>GENERIC</x:v>
      </x:c>
      <x:c r="E104" s="46" t="str">
        <x:v>AAC D450</x:v>
      </x:c>
      <x:c r="F104" s="70" t="str">
        <x:v>RANGE_ANCHORED_ENGINEERING</x:v>
      </x:c>
      <x:c r="G104" s="54" t="n">
        <x:v>225</x:v>
      </x:c>
      <x:c r="H104" s="54" t="n">
        <x:v>450</x:v>
      </x:c>
      <x:c r="I104" s="74" t="n">
        <x:f>IF(OR(G104="",H104=""),"",G104/1000*H104)</x:f>
        <x:v>101.25</x:v>
      </x:c>
      <x:c r="J104" s="75" t="n">
        <x:v>1.6</x:v>
      </x:c>
      <x:c r="K104" s="75" t="n">
        <x:v>0.2</x:v>
      </x:c>
      <x:c r="L104" s="75" t="n">
        <x:v>0.025</x:v>
      </x:c>
      <x:c r="M104" s="75" t="n">
        <x:f>IF(OR(J104="",K104=""),"",J104/(2*(1+K104)))</x:f>
        <x:v>0.6666666666666667</x:v>
      </x:c>
      <x:c r="N104" s="76" t="n">
        <x:f>IF(OR(J104="",H104="",K104=""),"",SQRT(J104*1000000000*(1-K104)/(H104*(1+K104)*(1-2*K104))))</x:f>
        <x:v>1987.615979999813</x:v>
      </x:c>
      <x:c r="O104" s="75" t="n">
        <x:f>IF(OR(H104="",N104=""),"",H104*N104/1000000)</x:f>
        <x:v>0.8944271909999159</x:v>
      </x:c>
      <x:c r="P104" s="74" t="n">
        <x:f>IF(OR(J104="",G104="",K104=""),"",J104*1000000000*(G104/1000)^3/(12*(1-K104^2)))</x:f>
        <x:v>1582031.2500000005</x:v>
      </x:c>
      <x:c r="Q104" s="76" t="n">
        <x:f>IF(OR(I104="",P104=""),"",343.2^2/(2*PI())*SQRT(I104/P104))</x:f>
        <x:v>149.97009859366656</x:v>
      </x:c>
      <x:c r="R104" s="58" t="n">
        <x:v>3.4</x:v>
      </x:c>
      <x:c r="S104" s="62" t="n">
        <x:v>0.1</x:v>
      </x:c>
      <x:c r="T104" s="46" t="str">
        <x:v>20 °C / kuru nominal</x:v>
      </x:c>
      <x:c r="U104" s="46" t="str">
        <x:v>ORTA</x:v>
      </x:c>
      <x:c r="V104" s="46" t="str">
        <x:v>https://storefrontapi.commerce.xella.com/occ/v2/at/catalogs/atContentCatalog/versions/Online/xellamedia/Ytong-BAU-EPD-Porenbetonsteine.pdf</x:v>
      </x:c>
      <x:c r="W104" s="50" t="str">
        <x:v>Xella EPD aralığına oturtulmuş nominal sınıf: ρ=300–650 kg/m³, E≈750–3250 MPa, basınç dayanımı≈2.2–6.5 MPa. Gerçek ürün sınıfı ve nem için doğrulayın.</x:v>
      </x:c>
    </x:row>
    <x:row r="105">
      <x:c r="A105" s="46" t="str">
        <x:v>AAC-D450-T250</x:v>
      </x:c>
      <x:c r="B105" s="46" t="str">
        <x:v>AAC / Gazbeton</x:v>
      </x:c>
      <x:c r="C105" s="46" t="str">
        <x:v>Nominal kuru yoğunluk sınıfı 450 kg/m³</x:v>
      </x:c>
      <x:c r="D105" s="46" t="str">
        <x:v>GENERIC</x:v>
      </x:c>
      <x:c r="E105" s="46" t="str">
        <x:v>AAC D450</x:v>
      </x:c>
      <x:c r="F105" s="70" t="str">
        <x:v>RANGE_ANCHORED_ENGINEERING</x:v>
      </x:c>
      <x:c r="G105" s="54" t="n">
        <x:v>250</x:v>
      </x:c>
      <x:c r="H105" s="54" t="n">
        <x:v>450</x:v>
      </x:c>
      <x:c r="I105" s="74" t="n">
        <x:f>IF(OR(G105="",H105=""),"",G105/1000*H105)</x:f>
        <x:v>112.5</x:v>
      </x:c>
      <x:c r="J105" s="75" t="n">
        <x:v>1.6</x:v>
      </x:c>
      <x:c r="K105" s="75" t="n">
        <x:v>0.2</x:v>
      </x:c>
      <x:c r="L105" s="75" t="n">
        <x:v>0.025</x:v>
      </x:c>
      <x:c r="M105" s="75" t="n">
        <x:f>IF(OR(J105="",K105=""),"",J105/(2*(1+K105)))</x:f>
        <x:v>0.6666666666666667</x:v>
      </x:c>
      <x:c r="N105" s="76" t="n">
        <x:f>IF(OR(J105="",H105="",K105=""),"",SQRT(J105*1000000000*(1-K105)/(H105*(1+K105)*(1-2*K105))))</x:f>
        <x:v>1987.615979999813</x:v>
      </x:c>
      <x:c r="O105" s="75" t="n">
        <x:f>IF(OR(H105="",N105=""),"",H105*N105/1000000)</x:f>
        <x:v>0.8944271909999159</x:v>
      </x:c>
      <x:c r="P105" s="74" t="n">
        <x:f>IF(OR(J105="",G105="",K105=""),"",J105*1000000000*(G105/1000)^3/(12*(1-K105^2)))</x:f>
        <x:v>2170138.888888889</x:v>
      </x:c>
      <x:c r="Q105" s="76" t="n">
        <x:f>IF(OR(I105="",P105=""),"",343.2^2/(2*PI())*SQRT(I105/P105))</x:f>
        <x:v>134.97308873429992</x:v>
      </x:c>
      <x:c r="R105" s="58" t="n">
        <x:v>3.4</x:v>
      </x:c>
      <x:c r="S105" s="62" t="n">
        <x:v>0.1</x:v>
      </x:c>
      <x:c r="T105" s="46" t="str">
        <x:v>20 °C / kuru nominal</x:v>
      </x:c>
      <x:c r="U105" s="46" t="str">
        <x:v>ORTA</x:v>
      </x:c>
      <x:c r="V105" s="46" t="str">
        <x:v>https://storefrontapi.commerce.xella.com/occ/v2/at/catalogs/atContentCatalog/versions/Online/xellamedia/Ytong-BAU-EPD-Porenbetonsteine.pdf</x:v>
      </x:c>
      <x:c r="W105" s="50" t="str">
        <x:v>Xella EPD aralığına oturtulmuş nominal sınıf: ρ=300–650 kg/m³, E≈750–3250 MPa, basınç dayanımı≈2.2–6.5 MPa. Gerçek ürün sınıfı ve nem için doğrulayın.</x:v>
      </x:c>
    </x:row>
    <x:row r="106">
      <x:c r="A106" s="46" t="str">
        <x:v>AAC-D450-T300</x:v>
      </x:c>
      <x:c r="B106" s="46" t="str">
        <x:v>AAC / Gazbeton</x:v>
      </x:c>
      <x:c r="C106" s="46" t="str">
        <x:v>Nominal kuru yoğunluk sınıfı 450 kg/m³</x:v>
      </x:c>
      <x:c r="D106" s="46" t="str">
        <x:v>GENERIC</x:v>
      </x:c>
      <x:c r="E106" s="46" t="str">
        <x:v>AAC D450</x:v>
      </x:c>
      <x:c r="F106" s="70" t="str">
        <x:v>RANGE_ANCHORED_ENGINEERING</x:v>
      </x:c>
      <x:c r="G106" s="54" t="n">
        <x:v>300</x:v>
      </x:c>
      <x:c r="H106" s="54" t="n">
        <x:v>450</x:v>
      </x:c>
      <x:c r="I106" s="74" t="n">
        <x:f>IF(OR(G106="",H106=""),"",G106/1000*H106)</x:f>
        <x:v>135</x:v>
      </x:c>
      <x:c r="J106" s="75" t="n">
        <x:v>1.6</x:v>
      </x:c>
      <x:c r="K106" s="75" t="n">
        <x:v>0.2</x:v>
      </x:c>
      <x:c r="L106" s="75" t="n">
        <x:v>0.025</x:v>
      </x:c>
      <x:c r="M106" s="75" t="n">
        <x:f>IF(OR(J106="",K106=""),"",J106/(2*(1+K106)))</x:f>
        <x:v>0.6666666666666667</x:v>
      </x:c>
      <x:c r="N106" s="76" t="n">
        <x:f>IF(OR(J106="",H106="",K106=""),"",SQRT(J106*1000000000*(1-K106)/(H106*(1+K106)*(1-2*K106))))</x:f>
        <x:v>1987.615979999813</x:v>
      </x:c>
      <x:c r="O106" s="75" t="n">
        <x:f>IF(OR(H106="",N106=""),"",H106*N106/1000000)</x:f>
        <x:v>0.8944271909999159</x:v>
      </x:c>
      <x:c r="P106" s="74" t="n">
        <x:f>IF(OR(J106="",G106="",K106=""),"",J106*1000000000*(G106/1000)^3/(12*(1-K106^2)))</x:f>
        <x:v>3750000</x:v>
      </x:c>
      <x:c r="Q106" s="76" t="n">
        <x:f>IF(OR(I106="",P106=""),"",343.2^2/(2*PI())*SQRT(I106/P106))</x:f>
        <x:v>112.47757394524994</x:v>
      </x:c>
      <x:c r="R106" s="58" t="n">
        <x:v>3.4</x:v>
      </x:c>
      <x:c r="S106" s="62" t="n">
        <x:v>0.1</x:v>
      </x:c>
      <x:c r="T106" s="46" t="str">
        <x:v>20 °C / kuru nominal</x:v>
      </x:c>
      <x:c r="U106" s="46" t="str">
        <x:v>ORTA</x:v>
      </x:c>
      <x:c r="V106" s="46" t="str">
        <x:v>https://storefrontapi.commerce.xella.com/occ/v2/at/catalogs/atContentCatalog/versions/Online/xellamedia/Ytong-BAU-EPD-Porenbetonsteine.pdf</x:v>
      </x:c>
      <x:c r="W106" s="50" t="str">
        <x:v>Xella EPD aralığına oturtulmuş nominal sınıf: ρ=300–650 kg/m³, E≈750–3250 MPa, basınç dayanımı≈2.2–6.5 MPa. Gerçek ürün sınıfı ve nem için doğrulayın.</x:v>
      </x:c>
    </x:row>
    <x:row r="107">
      <x:c r="A107" s="46" t="str">
        <x:v>AAC-D450-T375</x:v>
      </x:c>
      <x:c r="B107" s="46" t="str">
        <x:v>AAC / Gazbeton</x:v>
      </x:c>
      <x:c r="C107" s="46" t="str">
        <x:v>Nominal kuru yoğunluk sınıfı 450 kg/m³</x:v>
      </x:c>
      <x:c r="D107" s="46" t="str">
        <x:v>GENERIC</x:v>
      </x:c>
      <x:c r="E107" s="46" t="str">
        <x:v>AAC D450</x:v>
      </x:c>
      <x:c r="F107" s="70" t="str">
        <x:v>RANGE_ANCHORED_ENGINEERING</x:v>
      </x:c>
      <x:c r="G107" s="54" t="n">
        <x:v>375</x:v>
      </x:c>
      <x:c r="H107" s="54" t="n">
        <x:v>450</x:v>
      </x:c>
      <x:c r="I107" s="74" t="n">
        <x:f>IF(OR(G107="",H107=""),"",G107/1000*H107)</x:f>
        <x:v>168.75</x:v>
      </x:c>
      <x:c r="J107" s="75" t="n">
        <x:v>1.6</x:v>
      </x:c>
      <x:c r="K107" s="75" t="n">
        <x:v>0.2</x:v>
      </x:c>
      <x:c r="L107" s="75" t="n">
        <x:v>0.025</x:v>
      </x:c>
      <x:c r="M107" s="75" t="n">
        <x:f>IF(OR(J107="",K107=""),"",J107/(2*(1+K107)))</x:f>
        <x:v>0.6666666666666667</x:v>
      </x:c>
      <x:c r="N107" s="76" t="n">
        <x:f>IF(OR(J107="",H107="",K107=""),"",SQRT(J107*1000000000*(1-K107)/(H107*(1+K107)*(1-2*K107))))</x:f>
        <x:v>1987.615979999813</x:v>
      </x:c>
      <x:c r="O107" s="75" t="n">
        <x:f>IF(OR(H107="",N107=""),"",H107*N107/1000000)</x:f>
        <x:v>0.8944271909999159</x:v>
      </x:c>
      <x:c r="P107" s="74" t="n">
        <x:f>IF(OR(J107="",G107="",K107=""),"",J107*1000000000*(G107/1000)^3/(12*(1-K107^2)))</x:f>
        <x:v>7324218.75</x:v>
      </x:c>
      <x:c r="Q107" s="76" t="n">
        <x:f>IF(OR(I107="",P107=""),"",343.2^2/(2*PI())*SQRT(I107/P107))</x:f>
        <x:v>89.98205915619995</x:v>
      </x:c>
      <x:c r="R107" s="58" t="n">
        <x:v>3.4</x:v>
      </x:c>
      <x:c r="S107" s="62" t="n">
        <x:v>0.1</x:v>
      </x:c>
      <x:c r="T107" s="46" t="str">
        <x:v>20 °C / kuru nominal</x:v>
      </x:c>
      <x:c r="U107" s="46" t="str">
        <x:v>ORTA</x:v>
      </x:c>
      <x:c r="V107" s="46" t="str">
        <x:v>https://storefrontapi.commerce.xella.com/occ/v2/at/catalogs/atContentCatalog/versions/Online/xellamedia/Ytong-BAU-EPD-Porenbetonsteine.pdf</x:v>
      </x:c>
      <x:c r="W107" s="50" t="str">
        <x:v>Xella EPD aralığına oturtulmuş nominal sınıf: ρ=300–650 kg/m³, E≈750–3250 MPa, basınç dayanımı≈2.2–6.5 MPa. Gerçek ürün sınıfı ve nem için doğrulayın.</x:v>
      </x:c>
    </x:row>
    <x:row r="108">
      <x:c r="A108" s="46" t="str">
        <x:v>AAC-D450-T450</x:v>
      </x:c>
      <x:c r="B108" s="46" t="str">
        <x:v>AAC / Gazbeton</x:v>
      </x:c>
      <x:c r="C108" s="46" t="str">
        <x:v>Nominal kuru yoğunluk sınıfı 450 kg/m³</x:v>
      </x:c>
      <x:c r="D108" s="46" t="str">
        <x:v>GENERIC</x:v>
      </x:c>
      <x:c r="E108" s="46" t="str">
        <x:v>AAC D450</x:v>
      </x:c>
      <x:c r="F108" s="70" t="str">
        <x:v>RANGE_ANCHORED_ENGINEERING</x:v>
      </x:c>
      <x:c r="G108" s="54" t="n">
        <x:v>450</x:v>
      </x:c>
      <x:c r="H108" s="54" t="n">
        <x:v>450</x:v>
      </x:c>
      <x:c r="I108" s="74" t="n">
        <x:f>IF(OR(G108="",H108=""),"",G108/1000*H108)</x:f>
        <x:v>202.5</x:v>
      </x:c>
      <x:c r="J108" s="75" t="n">
        <x:v>1.6</x:v>
      </x:c>
      <x:c r="K108" s="75" t="n">
        <x:v>0.2</x:v>
      </x:c>
      <x:c r="L108" s="75" t="n">
        <x:v>0.025</x:v>
      </x:c>
      <x:c r="M108" s="75" t="n">
        <x:f>IF(OR(J108="",K108=""),"",J108/(2*(1+K108)))</x:f>
        <x:v>0.6666666666666667</x:v>
      </x:c>
      <x:c r="N108" s="76" t="n">
        <x:f>IF(OR(J108="",H108="",K108=""),"",SQRT(J108*1000000000*(1-K108)/(H108*(1+K108)*(1-2*K108))))</x:f>
        <x:v>1987.615979999813</x:v>
      </x:c>
      <x:c r="O108" s="75" t="n">
        <x:f>IF(OR(H108="",N108=""),"",H108*N108/1000000)</x:f>
        <x:v>0.8944271909999159</x:v>
      </x:c>
      <x:c r="P108" s="74" t="n">
        <x:f>IF(OR(J108="",G108="",K108=""),"",J108*1000000000*(G108/1000)^3/(12*(1-K108^2)))</x:f>
        <x:v>12656250.000000004</x:v>
      </x:c>
      <x:c r="Q108" s="76" t="n">
        <x:f>IF(OR(I108="",P108=""),"",343.2^2/(2*PI())*SQRT(I108/P108))</x:f>
        <x:v>74.98504929683328</x:v>
      </x:c>
      <x:c r="R108" s="58" t="n">
        <x:v>3.4</x:v>
      </x:c>
      <x:c r="S108" s="62" t="n">
        <x:v>0.1</x:v>
      </x:c>
      <x:c r="T108" s="46" t="str">
        <x:v>20 °C / kuru nominal</x:v>
      </x:c>
      <x:c r="U108" s="46" t="str">
        <x:v>ORTA</x:v>
      </x:c>
      <x:c r="V108" s="46" t="str">
        <x:v>https://storefrontapi.commerce.xella.com/occ/v2/at/catalogs/atContentCatalog/versions/Online/xellamedia/Ytong-BAU-EPD-Porenbetonsteine.pdf</x:v>
      </x:c>
      <x:c r="W108" s="50" t="str">
        <x:v>Xella EPD aralığına oturtulmuş nominal sınıf: ρ=300–650 kg/m³, E≈750–3250 MPa, basınç dayanımı≈2.2–6.5 MPa. Gerçek ürün sınıfı ve nem için doğrulayın.</x:v>
      </x:c>
    </x:row>
    <x:row r="109">
      <x:c r="A109" s="46" t="str">
        <x:v>AAC-D450-T500</x:v>
      </x:c>
      <x:c r="B109" s="46" t="str">
        <x:v>AAC / Gazbeton</x:v>
      </x:c>
      <x:c r="C109" s="46" t="str">
        <x:v>Nominal kuru yoğunluk sınıfı 450 kg/m³</x:v>
      </x:c>
      <x:c r="D109" s="46" t="str">
        <x:v>GENERIC</x:v>
      </x:c>
      <x:c r="E109" s="46" t="str">
        <x:v>AAC D450</x:v>
      </x:c>
      <x:c r="F109" s="70" t="str">
        <x:v>RANGE_ANCHORED_ENGINEERING</x:v>
      </x:c>
      <x:c r="G109" s="54" t="n">
        <x:v>500</x:v>
      </x:c>
      <x:c r="H109" s="54" t="n">
        <x:v>450</x:v>
      </x:c>
      <x:c r="I109" s="74" t="n">
        <x:f>IF(OR(G109="",H109=""),"",G109/1000*H109)</x:f>
        <x:v>225</x:v>
      </x:c>
      <x:c r="J109" s="75" t="n">
        <x:v>1.6</x:v>
      </x:c>
      <x:c r="K109" s="75" t="n">
        <x:v>0.2</x:v>
      </x:c>
      <x:c r="L109" s="75" t="n">
        <x:v>0.025</x:v>
      </x:c>
      <x:c r="M109" s="75" t="n">
        <x:f>IF(OR(J109="",K109=""),"",J109/(2*(1+K109)))</x:f>
        <x:v>0.6666666666666667</x:v>
      </x:c>
      <x:c r="N109" s="76" t="n">
        <x:f>IF(OR(J109="",H109="",K109=""),"",SQRT(J109*1000000000*(1-K109)/(H109*(1+K109)*(1-2*K109))))</x:f>
        <x:v>1987.615979999813</x:v>
      </x:c>
      <x:c r="O109" s="75" t="n">
        <x:f>IF(OR(H109="",N109=""),"",H109*N109/1000000)</x:f>
        <x:v>0.8944271909999159</x:v>
      </x:c>
      <x:c r="P109" s="74" t="n">
        <x:f>IF(OR(J109="",G109="",K109=""),"",J109*1000000000*(G109/1000)^3/(12*(1-K109^2)))</x:f>
        <x:v>17361111.111111112</x:v>
      </x:c>
      <x:c r="Q109" s="76" t="n">
        <x:f>IF(OR(I109="",P109=""),"",343.2^2/(2*PI())*SQRT(I109/P109))</x:f>
        <x:v>67.48654436714996</x:v>
      </x:c>
      <x:c r="R109" s="58" t="n">
        <x:v>3.4</x:v>
      </x:c>
      <x:c r="S109" s="62" t="n">
        <x:v>0.1</x:v>
      </x:c>
      <x:c r="T109" s="46" t="str">
        <x:v>20 °C / kuru nominal</x:v>
      </x:c>
      <x:c r="U109" s="46" t="str">
        <x:v>ORTA</x:v>
      </x:c>
      <x:c r="V109" s="46" t="str">
        <x:v>https://storefrontapi.commerce.xella.com/occ/v2/at/catalogs/atContentCatalog/versions/Online/xellamedia/Ytong-BAU-EPD-Porenbetonsteine.pdf</x:v>
      </x:c>
      <x:c r="W109" s="50" t="str">
        <x:v>Xella EPD aralığına oturtulmuş nominal sınıf: ρ=300–650 kg/m³, E≈750–3250 MPa, basınç dayanımı≈2.2–6.5 MPa. Gerçek ürün sınıfı ve nem için doğrulayın.</x:v>
      </x:c>
    </x:row>
    <x:row r="110">
      <x:c r="A110" s="46" t="str">
        <x:v>AAC-D500-T50</x:v>
      </x:c>
      <x:c r="B110" s="46" t="str">
        <x:v>AAC / Gazbeton</x:v>
      </x:c>
      <x:c r="C110" s="46" t="str">
        <x:v>Nominal kuru yoğunluk sınıfı 500 kg/m³</x:v>
      </x:c>
      <x:c r="D110" s="46" t="str">
        <x:v>GENERIC</x:v>
      </x:c>
      <x:c r="E110" s="46" t="str">
        <x:v>AAC D500</x:v>
      </x:c>
      <x:c r="F110" s="70" t="str">
        <x:v>RANGE_ANCHORED_ENGINEERING</x:v>
      </x:c>
      <x:c r="G110" s="54" t="n">
        <x:v>50</x:v>
      </x:c>
      <x:c r="H110" s="54" t="n">
        <x:v>500</x:v>
      </x:c>
      <x:c r="I110" s="74" t="n">
        <x:f>IF(OR(G110="",H110=""),"",G110/1000*H110)</x:f>
        <x:v>25</x:v>
      </x:c>
      <x:c r="J110" s="75" t="n">
        <x:v>2</x:v>
      </x:c>
      <x:c r="K110" s="75" t="n">
        <x:v>0.2</x:v>
      </x:c>
      <x:c r="L110" s="75" t="n">
        <x:v>0.025</x:v>
      </x:c>
      <x:c r="M110" s="75" t="n">
        <x:f>IF(OR(J110="",K110=""),"",J110/(2*(1+K110)))</x:f>
        <x:v>0.8333333333333334</x:v>
      </x:c>
      <x:c r="N110" s="76" t="n">
        <x:f>IF(OR(J110="",H110="",K110=""),"",SQRT(J110*1000000000*(1-K110)/(H110*(1+K110)*(1-2*K110))))</x:f>
        <x:v>2108.1851067789194</x:v>
      </x:c>
      <x:c r="O110" s="75" t="n">
        <x:f>IF(OR(H110="",N110=""),"",H110*N110/1000000)</x:f>
        <x:v>1.0540925533894596</x:v>
      </x:c>
      <x:c r="P110" s="74" t="n">
        <x:f>IF(OR(J110="",G110="",K110=""),"",J110*1000000000*(G110/1000)^3/(12*(1-K110^2)))</x:f>
        <x:v>21701.388888888894</x:v>
      </x:c>
      <x:c r="Q110" s="76" t="n">
        <x:f>IF(OR(I110="",P110=""),"",343.2^2/(2*PI())*SQRT(I110/P110))</x:f>
        <x:v>636.2692421447805</x:v>
      </x:c>
      <x:c r="R110" s="58" t="n">
        <x:v>4</x:v>
      </x:c>
      <x:c r="S110" s="62" t="n">
        <x:v>0.11</x:v>
      </x:c>
      <x:c r="T110" s="46" t="str">
        <x:v>20 °C / kuru nominal</x:v>
      </x:c>
      <x:c r="U110" s="46" t="str">
        <x:v>ORTA</x:v>
      </x:c>
      <x:c r="V110" s="46" t="str">
        <x:v>https://storefrontapi.commerce.xella.com/occ/v2/at/catalogs/atContentCatalog/versions/Online/xellamedia/Ytong-BAU-EPD-Porenbetonsteine.pdf</x:v>
      </x:c>
      <x:c r="W110" s="50" t="str">
        <x:v>Xella EPD aralığına oturtulmuş nominal sınıf: ρ=300–650 kg/m³, E≈750–3250 MPa, basınç dayanımı≈2.2–6.5 MPa. Gerçek ürün sınıfı ve nem için doğrulayın.</x:v>
      </x:c>
    </x:row>
    <x:row r="111">
      <x:c r="A111" s="46" t="str">
        <x:v>AAC-D500-T75</x:v>
      </x:c>
      <x:c r="B111" s="46" t="str">
        <x:v>AAC / Gazbeton</x:v>
      </x:c>
      <x:c r="C111" s="46" t="str">
        <x:v>Nominal kuru yoğunluk sınıfı 500 kg/m³</x:v>
      </x:c>
      <x:c r="D111" s="46" t="str">
        <x:v>GENERIC</x:v>
      </x:c>
      <x:c r="E111" s="46" t="str">
        <x:v>AAC D500</x:v>
      </x:c>
      <x:c r="F111" s="70" t="str">
        <x:v>RANGE_ANCHORED_ENGINEERING</x:v>
      </x:c>
      <x:c r="G111" s="54" t="n">
        <x:v>75</x:v>
      </x:c>
      <x:c r="H111" s="54" t="n">
        <x:v>500</x:v>
      </x:c>
      <x:c r="I111" s="74" t="n">
        <x:f>IF(OR(G111="",H111=""),"",G111/1000*H111)</x:f>
        <x:v>37.5</x:v>
      </x:c>
      <x:c r="J111" s="75" t="n">
        <x:v>2</x:v>
      </x:c>
      <x:c r="K111" s="75" t="n">
        <x:v>0.2</x:v>
      </x:c>
      <x:c r="L111" s="75" t="n">
        <x:v>0.025</x:v>
      </x:c>
      <x:c r="M111" s="75" t="n">
        <x:f>IF(OR(J111="",K111=""),"",J111/(2*(1+K111)))</x:f>
        <x:v>0.8333333333333334</x:v>
      </x:c>
      <x:c r="N111" s="76" t="n">
        <x:f>IF(OR(J111="",H111="",K111=""),"",SQRT(J111*1000000000*(1-K111)/(H111*(1+K111)*(1-2*K111))))</x:f>
        <x:v>2108.1851067789194</x:v>
      </x:c>
      <x:c r="O111" s="75" t="n">
        <x:f>IF(OR(H111="",N111=""),"",H111*N111/1000000)</x:f>
        <x:v>1.0540925533894596</x:v>
      </x:c>
      <x:c r="P111" s="74" t="n">
        <x:f>IF(OR(J111="",G111="",K111=""),"",J111*1000000000*(G111/1000)^3/(12*(1-K111^2)))</x:f>
        <x:v>73242.1875</x:v>
      </x:c>
      <x:c r="Q111" s="76" t="n">
        <x:f>IF(OR(I111="",P111=""),"",343.2^2/(2*PI())*SQRT(I111/P111))</x:f>
        <x:v>424.17949476318705</x:v>
      </x:c>
      <x:c r="R111" s="58" t="n">
        <x:v>4</x:v>
      </x:c>
      <x:c r="S111" s="62" t="n">
        <x:v>0.11</x:v>
      </x:c>
      <x:c r="T111" s="46" t="str">
        <x:v>20 °C / kuru nominal</x:v>
      </x:c>
      <x:c r="U111" s="46" t="str">
        <x:v>ORTA</x:v>
      </x:c>
      <x:c r="V111" s="46" t="str">
        <x:v>https://storefrontapi.commerce.xella.com/occ/v2/at/catalogs/atContentCatalog/versions/Online/xellamedia/Ytong-BAU-EPD-Porenbetonsteine.pdf</x:v>
      </x:c>
      <x:c r="W111" s="50" t="str">
        <x:v>Xella EPD aralığına oturtulmuş nominal sınıf: ρ=300–650 kg/m³, E≈750–3250 MPa, basınç dayanımı≈2.2–6.5 MPa. Gerçek ürün sınıfı ve nem için doğrulayın.</x:v>
      </x:c>
    </x:row>
    <x:row r="112">
      <x:c r="A112" s="46" t="str">
        <x:v>AAC-D500-T100</x:v>
      </x:c>
      <x:c r="B112" s="46" t="str">
        <x:v>AAC / Gazbeton</x:v>
      </x:c>
      <x:c r="C112" s="46" t="str">
        <x:v>Nominal kuru yoğunluk sınıfı 500 kg/m³</x:v>
      </x:c>
      <x:c r="D112" s="46" t="str">
        <x:v>GENERIC</x:v>
      </x:c>
      <x:c r="E112" s="46" t="str">
        <x:v>AAC D500</x:v>
      </x:c>
      <x:c r="F112" s="70" t="str">
        <x:v>RANGE_ANCHORED_ENGINEERING</x:v>
      </x:c>
      <x:c r="G112" s="54" t="n">
        <x:v>100</x:v>
      </x:c>
      <x:c r="H112" s="54" t="n">
        <x:v>500</x:v>
      </x:c>
      <x:c r="I112" s="74" t="n">
        <x:f>IF(OR(G112="",H112=""),"",G112/1000*H112)</x:f>
        <x:v>50</x:v>
      </x:c>
      <x:c r="J112" s="75" t="n">
        <x:v>2</x:v>
      </x:c>
      <x:c r="K112" s="75" t="n">
        <x:v>0.2</x:v>
      </x:c>
      <x:c r="L112" s="75" t="n">
        <x:v>0.025</x:v>
      </x:c>
      <x:c r="M112" s="75" t="n">
        <x:f>IF(OR(J112="",K112=""),"",J112/(2*(1+K112)))</x:f>
        <x:v>0.8333333333333334</x:v>
      </x:c>
      <x:c r="N112" s="76" t="n">
        <x:f>IF(OR(J112="",H112="",K112=""),"",SQRT(J112*1000000000*(1-K112)/(H112*(1+K112)*(1-2*K112))))</x:f>
        <x:v>2108.1851067789194</x:v>
      </x:c>
      <x:c r="O112" s="75" t="n">
        <x:f>IF(OR(H112="",N112=""),"",H112*N112/1000000)</x:f>
        <x:v>1.0540925533894596</x:v>
      </x:c>
      <x:c r="P112" s="74" t="n">
        <x:f>IF(OR(J112="",G112="",K112=""),"",J112*1000000000*(G112/1000)^3/(12*(1-K112^2)))</x:f>
        <x:v>173611.11111111115</x:v>
      </x:c>
      <x:c r="Q112" s="76" t="n">
        <x:f>IF(OR(I112="",P112=""),"",343.2^2/(2*PI())*SQRT(I112/P112))</x:f>
        <x:v>318.13462107239025</x:v>
      </x:c>
      <x:c r="R112" s="58" t="n">
        <x:v>4</x:v>
      </x:c>
      <x:c r="S112" s="62" t="n">
        <x:v>0.11</x:v>
      </x:c>
      <x:c r="T112" s="46" t="str">
        <x:v>20 °C / kuru nominal</x:v>
      </x:c>
      <x:c r="U112" s="46" t="str">
        <x:v>ORTA</x:v>
      </x:c>
      <x:c r="V112" s="46" t="str">
        <x:v>https://storefrontapi.commerce.xella.com/occ/v2/at/catalogs/atContentCatalog/versions/Online/xellamedia/Ytong-BAU-EPD-Porenbetonsteine.pdf</x:v>
      </x:c>
      <x:c r="W112" s="50" t="str">
        <x:v>Xella EPD aralığına oturtulmuş nominal sınıf: ρ=300–650 kg/m³, E≈750–3250 MPa, basınç dayanımı≈2.2–6.5 MPa. Gerçek ürün sınıfı ve nem için doğrulayın.</x:v>
      </x:c>
    </x:row>
    <x:row r="113">
      <x:c r="A113" s="46" t="str">
        <x:v>AAC-D500-T125</x:v>
      </x:c>
      <x:c r="B113" s="46" t="str">
        <x:v>AAC / Gazbeton</x:v>
      </x:c>
      <x:c r="C113" s="46" t="str">
        <x:v>Nominal kuru yoğunluk sınıfı 500 kg/m³</x:v>
      </x:c>
      <x:c r="D113" s="46" t="str">
        <x:v>GENERIC</x:v>
      </x:c>
      <x:c r="E113" s="46" t="str">
        <x:v>AAC D500</x:v>
      </x:c>
      <x:c r="F113" s="70" t="str">
        <x:v>RANGE_ANCHORED_ENGINEERING</x:v>
      </x:c>
      <x:c r="G113" s="54" t="n">
        <x:v>125</x:v>
      </x:c>
      <x:c r="H113" s="54" t="n">
        <x:v>500</x:v>
      </x:c>
      <x:c r="I113" s="74" t="n">
        <x:f>IF(OR(G113="",H113=""),"",G113/1000*H113)</x:f>
        <x:v>62.5</x:v>
      </x:c>
      <x:c r="J113" s="75" t="n">
        <x:v>2</x:v>
      </x:c>
      <x:c r="K113" s="75" t="n">
        <x:v>0.2</x:v>
      </x:c>
      <x:c r="L113" s="75" t="n">
        <x:v>0.025</x:v>
      </x:c>
      <x:c r="M113" s="75" t="n">
        <x:f>IF(OR(J113="",K113=""),"",J113/(2*(1+K113)))</x:f>
        <x:v>0.8333333333333334</x:v>
      </x:c>
      <x:c r="N113" s="76" t="n">
        <x:f>IF(OR(J113="",H113="",K113=""),"",SQRT(J113*1000000000*(1-K113)/(H113*(1+K113)*(1-2*K113))))</x:f>
        <x:v>2108.1851067789194</x:v>
      </x:c>
      <x:c r="O113" s="75" t="n">
        <x:f>IF(OR(H113="",N113=""),"",H113*N113/1000000)</x:f>
        <x:v>1.0540925533894596</x:v>
      </x:c>
      <x:c r="P113" s="74" t="n">
        <x:f>IF(OR(J113="",G113="",K113=""),"",J113*1000000000*(G113/1000)^3/(12*(1-K113^2)))</x:f>
        <x:v>339084.2013888889</x:v>
      </x:c>
      <x:c r="Q113" s="76" t="n">
        <x:f>IF(OR(I113="",P113=""),"",343.2^2/(2*PI())*SQRT(I113/P113))</x:f>
        <x:v>254.50769685791224</x:v>
      </x:c>
      <x:c r="R113" s="58" t="n">
        <x:v>4</x:v>
      </x:c>
      <x:c r="S113" s="62" t="n">
        <x:v>0.11</x:v>
      </x:c>
      <x:c r="T113" s="46" t="str">
        <x:v>20 °C / kuru nominal</x:v>
      </x:c>
      <x:c r="U113" s="46" t="str">
        <x:v>ORTA</x:v>
      </x:c>
      <x:c r="V113" s="46" t="str">
        <x:v>https://storefrontapi.commerce.xella.com/occ/v2/at/catalogs/atContentCatalog/versions/Online/xellamedia/Ytong-BAU-EPD-Porenbetonsteine.pdf</x:v>
      </x:c>
      <x:c r="W113" s="50" t="str">
        <x:v>Xella EPD aralığına oturtulmuş nominal sınıf: ρ=300–650 kg/m³, E≈750–3250 MPa, basınç dayanımı≈2.2–6.5 MPa. Gerçek ürün sınıfı ve nem için doğrulayın.</x:v>
      </x:c>
    </x:row>
    <x:row r="114">
      <x:c r="A114" s="46" t="str">
        <x:v>AAC-D500-T150</x:v>
      </x:c>
      <x:c r="B114" s="46" t="str">
        <x:v>AAC / Gazbeton</x:v>
      </x:c>
      <x:c r="C114" s="46" t="str">
        <x:v>Nominal kuru yoğunluk sınıfı 500 kg/m³</x:v>
      </x:c>
      <x:c r="D114" s="46" t="str">
        <x:v>GENERIC</x:v>
      </x:c>
      <x:c r="E114" s="46" t="str">
        <x:v>AAC D500</x:v>
      </x:c>
      <x:c r="F114" s="70" t="str">
        <x:v>RANGE_ANCHORED_ENGINEERING</x:v>
      </x:c>
      <x:c r="G114" s="54" t="n">
        <x:v>150</x:v>
      </x:c>
      <x:c r="H114" s="54" t="n">
        <x:v>500</x:v>
      </x:c>
      <x:c r="I114" s="74" t="n">
        <x:f>IF(OR(G114="",H114=""),"",G114/1000*H114)</x:f>
        <x:v>75</x:v>
      </x:c>
      <x:c r="J114" s="75" t="n">
        <x:v>2</x:v>
      </x:c>
      <x:c r="K114" s="75" t="n">
        <x:v>0.2</x:v>
      </x:c>
      <x:c r="L114" s="75" t="n">
        <x:v>0.025</x:v>
      </x:c>
      <x:c r="M114" s="75" t="n">
        <x:f>IF(OR(J114="",K114=""),"",J114/(2*(1+K114)))</x:f>
        <x:v>0.8333333333333334</x:v>
      </x:c>
      <x:c r="N114" s="76" t="n">
        <x:f>IF(OR(J114="",H114="",K114=""),"",SQRT(J114*1000000000*(1-K114)/(H114*(1+K114)*(1-2*K114))))</x:f>
        <x:v>2108.1851067789194</x:v>
      </x:c>
      <x:c r="O114" s="75" t="n">
        <x:f>IF(OR(H114="",N114=""),"",H114*N114/1000000)</x:f>
        <x:v>1.0540925533894596</x:v>
      </x:c>
      <x:c r="P114" s="74" t="n">
        <x:f>IF(OR(J114="",G114="",K114=""),"",J114*1000000000*(G114/1000)^3/(12*(1-K114^2)))</x:f>
        <x:v>585937.5</x:v>
      </x:c>
      <x:c r="Q114" s="76" t="n">
        <x:f>IF(OR(I114="",P114=""),"",343.2^2/(2*PI())*SQRT(I114/P114))</x:f>
        <x:v>212.08974738159353</x:v>
      </x:c>
      <x:c r="R114" s="58" t="n">
        <x:v>4</x:v>
      </x:c>
      <x:c r="S114" s="62" t="n">
        <x:v>0.11</x:v>
      </x:c>
      <x:c r="T114" s="46" t="str">
        <x:v>20 °C / kuru nominal</x:v>
      </x:c>
      <x:c r="U114" s="46" t="str">
        <x:v>ORTA</x:v>
      </x:c>
      <x:c r="V114" s="46" t="str">
        <x:v>https://storefrontapi.commerce.xella.com/occ/v2/at/catalogs/atContentCatalog/versions/Online/xellamedia/Ytong-BAU-EPD-Porenbetonsteine.pdf</x:v>
      </x:c>
      <x:c r="W114" s="50" t="str">
        <x:v>Xella EPD aralığına oturtulmuş nominal sınıf: ρ=300–650 kg/m³, E≈750–3250 MPa, basınç dayanımı≈2.2–6.5 MPa. Gerçek ürün sınıfı ve nem için doğrulayın.</x:v>
      </x:c>
    </x:row>
    <x:row r="115">
      <x:c r="A115" s="46" t="str">
        <x:v>AAC-D500-T175</x:v>
      </x:c>
      <x:c r="B115" s="46" t="str">
        <x:v>AAC / Gazbeton</x:v>
      </x:c>
      <x:c r="C115" s="46" t="str">
        <x:v>Nominal kuru yoğunluk sınıfı 500 kg/m³</x:v>
      </x:c>
      <x:c r="D115" s="46" t="str">
        <x:v>GENERIC</x:v>
      </x:c>
      <x:c r="E115" s="46" t="str">
        <x:v>AAC D500</x:v>
      </x:c>
      <x:c r="F115" s="70" t="str">
        <x:v>RANGE_ANCHORED_ENGINEERING</x:v>
      </x:c>
      <x:c r="G115" s="54" t="n">
        <x:v>175</x:v>
      </x:c>
      <x:c r="H115" s="54" t="n">
        <x:v>500</x:v>
      </x:c>
      <x:c r="I115" s="74" t="n">
        <x:f>IF(OR(G115="",H115=""),"",G115/1000*H115)</x:f>
        <x:v>87.5</x:v>
      </x:c>
      <x:c r="J115" s="75" t="n">
        <x:v>2</x:v>
      </x:c>
      <x:c r="K115" s="75" t="n">
        <x:v>0.2</x:v>
      </x:c>
      <x:c r="L115" s="75" t="n">
        <x:v>0.025</x:v>
      </x:c>
      <x:c r="M115" s="75" t="n">
        <x:f>IF(OR(J115="",K115=""),"",J115/(2*(1+K115)))</x:f>
        <x:v>0.8333333333333334</x:v>
      </x:c>
      <x:c r="N115" s="76" t="n">
        <x:f>IF(OR(J115="",H115="",K115=""),"",SQRT(J115*1000000000*(1-K115)/(H115*(1+K115)*(1-2*K115))))</x:f>
        <x:v>2108.1851067789194</x:v>
      </x:c>
      <x:c r="O115" s="75" t="n">
        <x:f>IF(OR(H115="",N115=""),"",H115*N115/1000000)</x:f>
        <x:v>1.0540925533894596</x:v>
      </x:c>
      <x:c r="P115" s="74" t="n">
        <x:f>IF(OR(J115="",G115="",K115=""),"",J115*1000000000*(G115/1000)^3/(12*(1-K115^2)))</x:f>
        <x:v>930447.048611111</x:v>
      </x:c>
      <x:c r="Q115" s="76" t="n">
        <x:f>IF(OR(I115="",P115=""),"",343.2^2/(2*PI())*SQRT(I115/P115))</x:f>
        <x:v>181.7912120413659</x:v>
      </x:c>
      <x:c r="R115" s="58" t="n">
        <x:v>4</x:v>
      </x:c>
      <x:c r="S115" s="62" t="n">
        <x:v>0.11</x:v>
      </x:c>
      <x:c r="T115" s="46" t="str">
        <x:v>20 °C / kuru nominal</x:v>
      </x:c>
      <x:c r="U115" s="46" t="str">
        <x:v>ORTA</x:v>
      </x:c>
      <x:c r="V115" s="46" t="str">
        <x:v>https://storefrontapi.commerce.xella.com/occ/v2/at/catalogs/atContentCatalog/versions/Online/xellamedia/Ytong-BAU-EPD-Porenbetonsteine.pdf</x:v>
      </x:c>
      <x:c r="W115" s="50" t="str">
        <x:v>Xella EPD aralığına oturtulmuş nominal sınıf: ρ=300–650 kg/m³, E≈750–3250 MPa, basınç dayanımı≈2.2–6.5 MPa. Gerçek ürün sınıfı ve nem için doğrulayın.</x:v>
      </x:c>
    </x:row>
    <x:row r="116">
      <x:c r="A116" s="46" t="str">
        <x:v>AAC-D500-T200</x:v>
      </x:c>
      <x:c r="B116" s="46" t="str">
        <x:v>AAC / Gazbeton</x:v>
      </x:c>
      <x:c r="C116" s="46" t="str">
        <x:v>Nominal kuru yoğunluk sınıfı 500 kg/m³</x:v>
      </x:c>
      <x:c r="D116" s="46" t="str">
        <x:v>GENERIC</x:v>
      </x:c>
      <x:c r="E116" s="46" t="str">
        <x:v>AAC D500</x:v>
      </x:c>
      <x:c r="F116" s="70" t="str">
        <x:v>RANGE_ANCHORED_ENGINEERING</x:v>
      </x:c>
      <x:c r="G116" s="54" t="n">
        <x:v>200</x:v>
      </x:c>
      <x:c r="H116" s="54" t="n">
        <x:v>500</x:v>
      </x:c>
      <x:c r="I116" s="74" t="n">
        <x:f>IF(OR(G116="",H116=""),"",G116/1000*H116)</x:f>
        <x:v>100</x:v>
      </x:c>
      <x:c r="J116" s="75" t="n">
        <x:v>2</x:v>
      </x:c>
      <x:c r="K116" s="75" t="n">
        <x:v>0.2</x:v>
      </x:c>
      <x:c r="L116" s="75" t="n">
        <x:v>0.025</x:v>
      </x:c>
      <x:c r="M116" s="75" t="n">
        <x:f>IF(OR(J116="",K116=""),"",J116/(2*(1+K116)))</x:f>
        <x:v>0.8333333333333334</x:v>
      </x:c>
      <x:c r="N116" s="76" t="n">
        <x:f>IF(OR(J116="",H116="",K116=""),"",SQRT(J116*1000000000*(1-K116)/(H116*(1+K116)*(1-2*K116))))</x:f>
        <x:v>2108.1851067789194</x:v>
      </x:c>
      <x:c r="O116" s="75" t="n">
        <x:f>IF(OR(H116="",N116=""),"",H116*N116/1000000)</x:f>
        <x:v>1.0540925533894596</x:v>
      </x:c>
      <x:c r="P116" s="74" t="n">
        <x:f>IF(OR(J116="",G116="",K116=""),"",J116*1000000000*(G116/1000)^3/(12*(1-K116^2)))</x:f>
        <x:v>1388888.8888888892</x:v>
      </x:c>
      <x:c r="Q116" s="76" t="n">
        <x:f>IF(OR(I116="",P116=""),"",343.2^2/(2*PI())*SQRT(I116/P116))</x:f>
        <x:v>159.06731053619512</x:v>
      </x:c>
      <x:c r="R116" s="58" t="n">
        <x:v>4</x:v>
      </x:c>
      <x:c r="S116" s="62" t="n">
        <x:v>0.11</x:v>
      </x:c>
      <x:c r="T116" s="46" t="str">
        <x:v>20 °C / kuru nominal</x:v>
      </x:c>
      <x:c r="U116" s="46" t="str">
        <x:v>ORTA</x:v>
      </x:c>
      <x:c r="V116" s="46" t="str">
        <x:v>https://storefrontapi.commerce.xella.com/occ/v2/at/catalogs/atContentCatalog/versions/Online/xellamedia/Ytong-BAU-EPD-Porenbetonsteine.pdf</x:v>
      </x:c>
      <x:c r="W116" s="50" t="str">
        <x:v>Xella EPD aralığına oturtulmuş nominal sınıf: ρ=300–650 kg/m³, E≈750–3250 MPa, basınç dayanımı≈2.2–6.5 MPa. Gerçek ürün sınıfı ve nem için doğrulayın.</x:v>
      </x:c>
    </x:row>
    <x:row r="117">
      <x:c r="A117" s="46" t="str">
        <x:v>AAC-D500-T225</x:v>
      </x:c>
      <x:c r="B117" s="46" t="str">
        <x:v>AAC / Gazbeton</x:v>
      </x:c>
      <x:c r="C117" s="46" t="str">
        <x:v>Nominal kuru yoğunluk sınıfı 500 kg/m³</x:v>
      </x:c>
      <x:c r="D117" s="46" t="str">
        <x:v>GENERIC</x:v>
      </x:c>
      <x:c r="E117" s="46" t="str">
        <x:v>AAC D500</x:v>
      </x:c>
      <x:c r="F117" s="70" t="str">
        <x:v>RANGE_ANCHORED_ENGINEERING</x:v>
      </x:c>
      <x:c r="G117" s="54" t="n">
        <x:v>225</x:v>
      </x:c>
      <x:c r="H117" s="54" t="n">
        <x:v>500</x:v>
      </x:c>
      <x:c r="I117" s="74" t="n">
        <x:f>IF(OR(G117="",H117=""),"",G117/1000*H117)</x:f>
        <x:v>112.5</x:v>
      </x:c>
      <x:c r="J117" s="75" t="n">
        <x:v>2</x:v>
      </x:c>
      <x:c r="K117" s="75" t="n">
        <x:v>0.2</x:v>
      </x:c>
      <x:c r="L117" s="75" t="n">
        <x:v>0.025</x:v>
      </x:c>
      <x:c r="M117" s="75" t="n">
        <x:f>IF(OR(J117="",K117=""),"",J117/(2*(1+K117)))</x:f>
        <x:v>0.8333333333333334</x:v>
      </x:c>
      <x:c r="N117" s="76" t="n">
        <x:f>IF(OR(J117="",H117="",K117=""),"",SQRT(J117*1000000000*(1-K117)/(H117*(1+K117)*(1-2*K117))))</x:f>
        <x:v>2108.1851067789194</x:v>
      </x:c>
      <x:c r="O117" s="75" t="n">
        <x:f>IF(OR(H117="",N117=""),"",H117*N117/1000000)</x:f>
        <x:v>1.0540925533894596</x:v>
      </x:c>
      <x:c r="P117" s="74" t="n">
        <x:f>IF(OR(J117="",G117="",K117=""),"",J117*1000000000*(G117/1000)^3/(12*(1-K117^2)))</x:f>
        <x:v>1977539.0625000005</x:v>
      </x:c>
      <x:c r="Q117" s="76" t="n">
        <x:f>IF(OR(I117="",P117=""),"",343.2^2/(2*PI())*SQRT(I117/P117))</x:f>
        <x:v>141.39316492106235</x:v>
      </x:c>
      <x:c r="R117" s="58" t="n">
        <x:v>4</x:v>
      </x:c>
      <x:c r="S117" s="62" t="n">
        <x:v>0.11</x:v>
      </x:c>
      <x:c r="T117" s="46" t="str">
        <x:v>20 °C / kuru nominal</x:v>
      </x:c>
      <x:c r="U117" s="46" t="str">
        <x:v>ORTA</x:v>
      </x:c>
      <x:c r="V117" s="46" t="str">
        <x:v>https://storefrontapi.commerce.xella.com/occ/v2/at/catalogs/atContentCatalog/versions/Online/xellamedia/Ytong-BAU-EPD-Porenbetonsteine.pdf</x:v>
      </x:c>
      <x:c r="W117" s="50" t="str">
        <x:v>Xella EPD aralığına oturtulmuş nominal sınıf: ρ=300–650 kg/m³, E≈750–3250 MPa, basınç dayanımı≈2.2–6.5 MPa. Gerçek ürün sınıfı ve nem için doğrulayın.</x:v>
      </x:c>
    </x:row>
    <x:row r="118">
      <x:c r="A118" s="46" t="str">
        <x:v>AAC-D500-T250</x:v>
      </x:c>
      <x:c r="B118" s="46" t="str">
        <x:v>AAC / Gazbeton</x:v>
      </x:c>
      <x:c r="C118" s="46" t="str">
        <x:v>Nominal kuru yoğunluk sınıfı 500 kg/m³</x:v>
      </x:c>
      <x:c r="D118" s="46" t="str">
        <x:v>GENERIC</x:v>
      </x:c>
      <x:c r="E118" s="46" t="str">
        <x:v>AAC D500</x:v>
      </x:c>
      <x:c r="F118" s="70" t="str">
        <x:v>RANGE_ANCHORED_ENGINEERING</x:v>
      </x:c>
      <x:c r="G118" s="54" t="n">
        <x:v>250</x:v>
      </x:c>
      <x:c r="H118" s="54" t="n">
        <x:v>500</x:v>
      </x:c>
      <x:c r="I118" s="74" t="n">
        <x:f>IF(OR(G118="",H118=""),"",G118/1000*H118)</x:f>
        <x:v>125</x:v>
      </x:c>
      <x:c r="J118" s="75" t="n">
        <x:v>2</x:v>
      </x:c>
      <x:c r="K118" s="75" t="n">
        <x:v>0.2</x:v>
      </x:c>
      <x:c r="L118" s="75" t="n">
        <x:v>0.025</x:v>
      </x:c>
      <x:c r="M118" s="75" t="n">
        <x:f>IF(OR(J118="",K118=""),"",J118/(2*(1+K118)))</x:f>
        <x:v>0.8333333333333334</x:v>
      </x:c>
      <x:c r="N118" s="76" t="n">
        <x:f>IF(OR(J118="",H118="",K118=""),"",SQRT(J118*1000000000*(1-K118)/(H118*(1+K118)*(1-2*K118))))</x:f>
        <x:v>2108.1851067789194</x:v>
      </x:c>
      <x:c r="O118" s="75" t="n">
        <x:f>IF(OR(H118="",N118=""),"",H118*N118/1000000)</x:f>
        <x:v>1.0540925533894596</x:v>
      </x:c>
      <x:c r="P118" s="74" t="n">
        <x:f>IF(OR(J118="",G118="",K118=""),"",J118*1000000000*(G118/1000)^3/(12*(1-K118^2)))</x:f>
        <x:v>2712673.611111111</x:v>
      </x:c>
      <x:c r="Q118" s="76" t="n">
        <x:f>IF(OR(I118="",P118=""),"",343.2^2/(2*PI())*SQRT(I118/P118))</x:f>
        <x:v>127.25384842895612</x:v>
      </x:c>
      <x:c r="R118" s="58" t="n">
        <x:v>4</x:v>
      </x:c>
      <x:c r="S118" s="62" t="n">
        <x:v>0.11</x:v>
      </x:c>
      <x:c r="T118" s="46" t="str">
        <x:v>20 °C / kuru nominal</x:v>
      </x:c>
      <x:c r="U118" s="46" t="str">
        <x:v>ORTA</x:v>
      </x:c>
      <x:c r="V118" s="46" t="str">
        <x:v>https://storefrontapi.commerce.xella.com/occ/v2/at/catalogs/atContentCatalog/versions/Online/xellamedia/Ytong-BAU-EPD-Porenbetonsteine.pdf</x:v>
      </x:c>
      <x:c r="W118" s="50" t="str">
        <x:v>Xella EPD aralığına oturtulmuş nominal sınıf: ρ=300–650 kg/m³, E≈750–3250 MPa, basınç dayanımı≈2.2–6.5 MPa. Gerçek ürün sınıfı ve nem için doğrulayın.</x:v>
      </x:c>
    </x:row>
    <x:row r="119">
      <x:c r="A119" s="46" t="str">
        <x:v>AAC-D500-T300</x:v>
      </x:c>
      <x:c r="B119" s="46" t="str">
        <x:v>AAC / Gazbeton</x:v>
      </x:c>
      <x:c r="C119" s="46" t="str">
        <x:v>Nominal kuru yoğunluk sınıfı 500 kg/m³</x:v>
      </x:c>
      <x:c r="D119" s="46" t="str">
        <x:v>GENERIC</x:v>
      </x:c>
      <x:c r="E119" s="46" t="str">
        <x:v>AAC D500</x:v>
      </x:c>
      <x:c r="F119" s="70" t="str">
        <x:v>RANGE_ANCHORED_ENGINEERING</x:v>
      </x:c>
      <x:c r="G119" s="54" t="n">
        <x:v>300</x:v>
      </x:c>
      <x:c r="H119" s="54" t="n">
        <x:v>500</x:v>
      </x:c>
      <x:c r="I119" s="74" t="n">
        <x:f>IF(OR(G119="",H119=""),"",G119/1000*H119)</x:f>
        <x:v>150</x:v>
      </x:c>
      <x:c r="J119" s="75" t="n">
        <x:v>2</x:v>
      </x:c>
      <x:c r="K119" s="75" t="n">
        <x:v>0.2</x:v>
      </x:c>
      <x:c r="L119" s="75" t="n">
        <x:v>0.025</x:v>
      </x:c>
      <x:c r="M119" s="75" t="n">
        <x:f>IF(OR(J119="",K119=""),"",J119/(2*(1+K119)))</x:f>
        <x:v>0.8333333333333334</x:v>
      </x:c>
      <x:c r="N119" s="76" t="n">
        <x:f>IF(OR(J119="",H119="",K119=""),"",SQRT(J119*1000000000*(1-K119)/(H119*(1+K119)*(1-2*K119))))</x:f>
        <x:v>2108.1851067789194</x:v>
      </x:c>
      <x:c r="O119" s="75" t="n">
        <x:f>IF(OR(H119="",N119=""),"",H119*N119/1000000)</x:f>
        <x:v>1.0540925533894596</x:v>
      </x:c>
      <x:c r="P119" s="74" t="n">
        <x:f>IF(OR(J119="",G119="",K119=""),"",J119*1000000000*(G119/1000)^3/(12*(1-K119^2)))</x:f>
        <x:v>4687500</x:v>
      </x:c>
      <x:c r="Q119" s="76" t="n">
        <x:f>IF(OR(I119="",P119=""),"",343.2^2/(2*PI())*SQRT(I119/P119))</x:f>
        <x:v>106.04487369079676</x:v>
      </x:c>
      <x:c r="R119" s="58" t="n">
        <x:v>4</x:v>
      </x:c>
      <x:c r="S119" s="62" t="n">
        <x:v>0.11</x:v>
      </x:c>
      <x:c r="T119" s="46" t="str">
        <x:v>20 °C / kuru nominal</x:v>
      </x:c>
      <x:c r="U119" s="46" t="str">
        <x:v>ORTA</x:v>
      </x:c>
      <x:c r="V119" s="46" t="str">
        <x:v>https://storefrontapi.commerce.xella.com/occ/v2/at/catalogs/atContentCatalog/versions/Online/xellamedia/Ytong-BAU-EPD-Porenbetonsteine.pdf</x:v>
      </x:c>
      <x:c r="W119" s="50" t="str">
        <x:v>Xella EPD aralığına oturtulmuş nominal sınıf: ρ=300–650 kg/m³, E≈750–3250 MPa, basınç dayanımı≈2.2–6.5 MPa. Gerçek ürün sınıfı ve nem için doğrulayın.</x:v>
      </x:c>
    </x:row>
    <x:row r="120">
      <x:c r="A120" s="46" t="str">
        <x:v>AAC-D500-T375</x:v>
      </x:c>
      <x:c r="B120" s="46" t="str">
        <x:v>AAC / Gazbeton</x:v>
      </x:c>
      <x:c r="C120" s="46" t="str">
        <x:v>Nominal kuru yoğunluk sınıfı 500 kg/m³</x:v>
      </x:c>
      <x:c r="D120" s="46" t="str">
        <x:v>GENERIC</x:v>
      </x:c>
      <x:c r="E120" s="46" t="str">
        <x:v>AAC D500</x:v>
      </x:c>
      <x:c r="F120" s="70" t="str">
        <x:v>RANGE_ANCHORED_ENGINEERING</x:v>
      </x:c>
      <x:c r="G120" s="54" t="n">
        <x:v>375</x:v>
      </x:c>
      <x:c r="H120" s="54" t="n">
        <x:v>500</x:v>
      </x:c>
      <x:c r="I120" s="74" t="n">
        <x:f>IF(OR(G120="",H120=""),"",G120/1000*H120)</x:f>
        <x:v>187.5</x:v>
      </x:c>
      <x:c r="J120" s="75" t="n">
        <x:v>2</x:v>
      </x:c>
      <x:c r="K120" s="75" t="n">
        <x:v>0.2</x:v>
      </x:c>
      <x:c r="L120" s="75" t="n">
        <x:v>0.025</x:v>
      </x:c>
      <x:c r="M120" s="75" t="n">
        <x:f>IF(OR(J120="",K120=""),"",J120/(2*(1+K120)))</x:f>
        <x:v>0.8333333333333334</x:v>
      </x:c>
      <x:c r="N120" s="76" t="n">
        <x:f>IF(OR(J120="",H120="",K120=""),"",SQRT(J120*1000000000*(1-K120)/(H120*(1+K120)*(1-2*K120))))</x:f>
        <x:v>2108.1851067789194</x:v>
      </x:c>
      <x:c r="O120" s="75" t="n">
        <x:f>IF(OR(H120="",N120=""),"",H120*N120/1000000)</x:f>
        <x:v>1.0540925533894596</x:v>
      </x:c>
      <x:c r="P120" s="74" t="n">
        <x:f>IF(OR(J120="",G120="",K120=""),"",J120*1000000000*(G120/1000)^3/(12*(1-K120^2)))</x:f>
        <x:v>9155273.4375</x:v>
      </x:c>
      <x:c r="Q120" s="76" t="n">
        <x:f>IF(OR(I120="",P120=""),"",343.2^2/(2*PI())*SQRT(I120/P120))</x:f>
        <x:v>84.83589895263741</x:v>
      </x:c>
      <x:c r="R120" s="58" t="n">
        <x:v>4</x:v>
      </x:c>
      <x:c r="S120" s="62" t="n">
        <x:v>0.11</x:v>
      </x:c>
      <x:c r="T120" s="46" t="str">
        <x:v>20 °C / kuru nominal</x:v>
      </x:c>
      <x:c r="U120" s="46" t="str">
        <x:v>ORTA</x:v>
      </x:c>
      <x:c r="V120" s="46" t="str">
        <x:v>https://storefrontapi.commerce.xella.com/occ/v2/at/catalogs/atContentCatalog/versions/Online/xellamedia/Ytong-BAU-EPD-Porenbetonsteine.pdf</x:v>
      </x:c>
      <x:c r="W120" s="50" t="str">
        <x:v>Xella EPD aralığına oturtulmuş nominal sınıf: ρ=300–650 kg/m³, E≈750–3250 MPa, basınç dayanımı≈2.2–6.5 MPa. Gerçek ürün sınıfı ve nem için doğrulayın.</x:v>
      </x:c>
    </x:row>
    <x:row r="121">
      <x:c r="A121" s="46" t="str">
        <x:v>AAC-D500-T450</x:v>
      </x:c>
      <x:c r="B121" s="46" t="str">
        <x:v>AAC / Gazbeton</x:v>
      </x:c>
      <x:c r="C121" s="46" t="str">
        <x:v>Nominal kuru yoğunluk sınıfı 500 kg/m³</x:v>
      </x:c>
      <x:c r="D121" s="46" t="str">
        <x:v>GENERIC</x:v>
      </x:c>
      <x:c r="E121" s="46" t="str">
        <x:v>AAC D500</x:v>
      </x:c>
      <x:c r="F121" s="70" t="str">
        <x:v>RANGE_ANCHORED_ENGINEERING</x:v>
      </x:c>
      <x:c r="G121" s="54" t="n">
        <x:v>450</x:v>
      </x:c>
      <x:c r="H121" s="54" t="n">
        <x:v>500</x:v>
      </x:c>
      <x:c r="I121" s="74" t="n">
        <x:f>IF(OR(G121="",H121=""),"",G121/1000*H121)</x:f>
        <x:v>225</x:v>
      </x:c>
      <x:c r="J121" s="75" t="n">
        <x:v>2</x:v>
      </x:c>
      <x:c r="K121" s="75" t="n">
        <x:v>0.2</x:v>
      </x:c>
      <x:c r="L121" s="75" t="n">
        <x:v>0.025</x:v>
      </x:c>
      <x:c r="M121" s="75" t="n">
        <x:f>IF(OR(J121="",K121=""),"",J121/(2*(1+K121)))</x:f>
        <x:v>0.8333333333333334</x:v>
      </x:c>
      <x:c r="N121" s="76" t="n">
        <x:f>IF(OR(J121="",H121="",K121=""),"",SQRT(J121*1000000000*(1-K121)/(H121*(1+K121)*(1-2*K121))))</x:f>
        <x:v>2108.1851067789194</x:v>
      </x:c>
      <x:c r="O121" s="75" t="n">
        <x:f>IF(OR(H121="",N121=""),"",H121*N121/1000000)</x:f>
        <x:v>1.0540925533894596</x:v>
      </x:c>
      <x:c r="P121" s="74" t="n">
        <x:f>IF(OR(J121="",G121="",K121=""),"",J121*1000000000*(G121/1000)^3/(12*(1-K121^2)))</x:f>
        <x:v>15820312.500000004</x:v>
      </x:c>
      <x:c r="Q121" s="76" t="n">
        <x:f>IF(OR(I121="",P121=""),"",343.2^2/(2*PI())*SQRT(I121/P121))</x:f>
        <x:v>70.69658246053118</x:v>
      </x:c>
      <x:c r="R121" s="58" t="n">
        <x:v>4</x:v>
      </x:c>
      <x:c r="S121" s="62" t="n">
        <x:v>0.11</x:v>
      </x:c>
      <x:c r="T121" s="46" t="str">
        <x:v>20 °C / kuru nominal</x:v>
      </x:c>
      <x:c r="U121" s="46" t="str">
        <x:v>ORTA</x:v>
      </x:c>
      <x:c r="V121" s="46" t="str">
        <x:v>https://storefrontapi.commerce.xella.com/occ/v2/at/catalogs/atContentCatalog/versions/Online/xellamedia/Ytong-BAU-EPD-Porenbetonsteine.pdf</x:v>
      </x:c>
      <x:c r="W121" s="50" t="str">
        <x:v>Xella EPD aralığına oturtulmuş nominal sınıf: ρ=300–650 kg/m³, E≈750–3250 MPa, basınç dayanımı≈2.2–6.5 MPa. Gerçek ürün sınıfı ve nem için doğrulayın.</x:v>
      </x:c>
    </x:row>
    <x:row r="122">
      <x:c r="A122" s="46" t="str">
        <x:v>AAC-D500-T500</x:v>
      </x:c>
      <x:c r="B122" s="46" t="str">
        <x:v>AAC / Gazbeton</x:v>
      </x:c>
      <x:c r="C122" s="46" t="str">
        <x:v>Nominal kuru yoğunluk sınıfı 500 kg/m³</x:v>
      </x:c>
      <x:c r="D122" s="46" t="str">
        <x:v>GENERIC</x:v>
      </x:c>
      <x:c r="E122" s="46" t="str">
        <x:v>AAC D500</x:v>
      </x:c>
      <x:c r="F122" s="70" t="str">
        <x:v>RANGE_ANCHORED_ENGINEERING</x:v>
      </x:c>
      <x:c r="G122" s="54" t="n">
        <x:v>500</x:v>
      </x:c>
      <x:c r="H122" s="54" t="n">
        <x:v>500</x:v>
      </x:c>
      <x:c r="I122" s="74" t="n">
        <x:f>IF(OR(G122="",H122=""),"",G122/1000*H122)</x:f>
        <x:v>250</x:v>
      </x:c>
      <x:c r="J122" s="75" t="n">
        <x:v>2</x:v>
      </x:c>
      <x:c r="K122" s="75" t="n">
        <x:v>0.2</x:v>
      </x:c>
      <x:c r="L122" s="75" t="n">
        <x:v>0.025</x:v>
      </x:c>
      <x:c r="M122" s="75" t="n">
        <x:f>IF(OR(J122="",K122=""),"",J122/(2*(1+K122)))</x:f>
        <x:v>0.8333333333333334</x:v>
      </x:c>
      <x:c r="N122" s="76" t="n">
        <x:f>IF(OR(J122="",H122="",K122=""),"",SQRT(J122*1000000000*(1-K122)/(H122*(1+K122)*(1-2*K122))))</x:f>
        <x:v>2108.1851067789194</x:v>
      </x:c>
      <x:c r="O122" s="75" t="n">
        <x:f>IF(OR(H122="",N122=""),"",H122*N122/1000000)</x:f>
        <x:v>1.0540925533894596</x:v>
      </x:c>
      <x:c r="P122" s="74" t="n">
        <x:f>IF(OR(J122="",G122="",K122=""),"",J122*1000000000*(G122/1000)^3/(12*(1-K122^2)))</x:f>
        <x:v>21701388.888888888</x:v>
      </x:c>
      <x:c r="Q122" s="76" t="n">
        <x:f>IF(OR(I122="",P122=""),"",343.2^2/(2*PI())*SQRT(I122/P122))</x:f>
        <x:v>63.62692421447806</x:v>
      </x:c>
      <x:c r="R122" s="58" t="n">
        <x:v>4</x:v>
      </x:c>
      <x:c r="S122" s="62" t="n">
        <x:v>0.11</x:v>
      </x:c>
      <x:c r="T122" s="46" t="str">
        <x:v>20 °C / kuru nominal</x:v>
      </x:c>
      <x:c r="U122" s="46" t="str">
        <x:v>ORTA</x:v>
      </x:c>
      <x:c r="V122" s="46" t="str">
        <x:v>https://storefrontapi.commerce.xella.com/occ/v2/at/catalogs/atContentCatalog/versions/Online/xellamedia/Ytong-BAU-EPD-Porenbetonsteine.pdf</x:v>
      </x:c>
      <x:c r="W122" s="50" t="str">
        <x:v>Xella EPD aralığına oturtulmuş nominal sınıf: ρ=300–650 kg/m³, E≈750–3250 MPa, basınç dayanımı≈2.2–6.5 MPa. Gerçek ürün sınıfı ve nem için doğrulayın.</x:v>
      </x:c>
    </x:row>
    <x:row r="123">
      <x:c r="A123" s="46" t="str">
        <x:v>AAC-D550-T50</x:v>
      </x:c>
      <x:c r="B123" s="46" t="str">
        <x:v>AAC / Gazbeton</x:v>
      </x:c>
      <x:c r="C123" s="46" t="str">
        <x:v>Nominal kuru yoğunluk sınıfı 550 kg/m³</x:v>
      </x:c>
      <x:c r="D123" s="46" t="str">
        <x:v>GENERIC</x:v>
      </x:c>
      <x:c r="E123" s="46" t="str">
        <x:v>AAC D550</x:v>
      </x:c>
      <x:c r="F123" s="70" t="str">
        <x:v>RANGE_ANCHORED_ENGINEERING</x:v>
      </x:c>
      <x:c r="G123" s="54" t="n">
        <x:v>50</x:v>
      </x:c>
      <x:c r="H123" s="54" t="n">
        <x:v>550</x:v>
      </x:c>
      <x:c r="I123" s="74" t="n">
        <x:f>IF(OR(G123="",H123=""),"",G123/1000*H123)</x:f>
        <x:v>27.5</x:v>
      </x:c>
      <x:c r="J123" s="75" t="n">
        <x:v>2.4</x:v>
      </x:c>
      <x:c r="K123" s="75" t="n">
        <x:v>0.2</x:v>
      </x:c>
      <x:c r="L123" s="75" t="n">
        <x:v>0.025</x:v>
      </x:c>
      <x:c r="M123" s="75" t="n">
        <x:f>IF(OR(J123="",K123=""),"",J123/(2*(1+K123)))</x:f>
        <x:v>1</x:v>
      </x:c>
      <x:c r="N123" s="76" t="n">
        <x:f>IF(OR(J123="",H123="",K123=""),"",SQRT(J123*1000000000*(1-K123)/(H123*(1+K123)*(1-2*K123))))</x:f>
        <x:v>2201.927530252721</x:v>
      </x:c>
      <x:c r="O123" s="75" t="n">
        <x:f>IF(OR(H123="",N123=""),"",H123*N123/1000000)</x:f>
        <x:v>1.2110601416389968</x:v>
      </x:c>
      <x:c r="P123" s="74" t="n">
        <x:f>IF(OR(J123="",G123="",K123=""),"",J123*1000000000*(G123/1000)^3/(12*(1-K123^2)))</x:f>
        <x:v>26041.66666666667</x:v>
      </x:c>
      <x:c r="Q123" s="76" t="n">
        <x:f>IF(OR(I123="",P123=""),"",343.2^2/(2*PI())*SQRT(I123/P123))</x:f>
        <x:v>609.1814202609944</x:v>
      </x:c>
      <x:c r="R123" s="58" t="n">
        <x:v>4.7</x:v>
      </x:c>
      <x:c r="S123" s="62" t="n">
        <x:v>0.125</x:v>
      </x:c>
      <x:c r="T123" s="46" t="str">
        <x:v>20 °C / kuru nominal</x:v>
      </x:c>
      <x:c r="U123" s="46" t="str">
        <x:v>ORTA</x:v>
      </x:c>
      <x:c r="V123" s="46" t="str">
        <x:v>https://storefrontapi.commerce.xella.com/occ/v2/at/catalogs/atContentCatalog/versions/Online/xellamedia/Ytong-BAU-EPD-Porenbetonsteine.pdf</x:v>
      </x:c>
      <x:c r="W123" s="50" t="str">
        <x:v>Xella EPD aralığına oturtulmuş nominal sınıf: ρ=300–650 kg/m³, E≈750–3250 MPa, basınç dayanımı≈2.2–6.5 MPa. Gerçek ürün sınıfı ve nem için doğrulayın.</x:v>
      </x:c>
    </x:row>
    <x:row r="124">
      <x:c r="A124" s="46" t="str">
        <x:v>AAC-D550-T75</x:v>
      </x:c>
      <x:c r="B124" s="46" t="str">
        <x:v>AAC / Gazbeton</x:v>
      </x:c>
      <x:c r="C124" s="46" t="str">
        <x:v>Nominal kuru yoğunluk sınıfı 550 kg/m³</x:v>
      </x:c>
      <x:c r="D124" s="46" t="str">
        <x:v>GENERIC</x:v>
      </x:c>
      <x:c r="E124" s="46" t="str">
        <x:v>AAC D550</x:v>
      </x:c>
      <x:c r="F124" s="70" t="str">
        <x:v>RANGE_ANCHORED_ENGINEERING</x:v>
      </x:c>
      <x:c r="G124" s="54" t="n">
        <x:v>75</x:v>
      </x:c>
      <x:c r="H124" s="54" t="n">
        <x:v>550</x:v>
      </x:c>
      <x:c r="I124" s="74" t="n">
        <x:f>IF(OR(G124="",H124=""),"",G124/1000*H124)</x:f>
        <x:v>41.25</x:v>
      </x:c>
      <x:c r="J124" s="75" t="n">
        <x:v>2.4</x:v>
      </x:c>
      <x:c r="K124" s="75" t="n">
        <x:v>0.2</x:v>
      </x:c>
      <x:c r="L124" s="75" t="n">
        <x:v>0.025</x:v>
      </x:c>
      <x:c r="M124" s="75" t="n">
        <x:f>IF(OR(J124="",K124=""),"",J124/(2*(1+K124)))</x:f>
        <x:v>1</x:v>
      </x:c>
      <x:c r="N124" s="76" t="n">
        <x:f>IF(OR(J124="",H124="",K124=""),"",SQRT(J124*1000000000*(1-K124)/(H124*(1+K124)*(1-2*K124))))</x:f>
        <x:v>2201.927530252721</x:v>
      </x:c>
      <x:c r="O124" s="75" t="n">
        <x:f>IF(OR(H124="",N124=""),"",H124*N124/1000000)</x:f>
        <x:v>1.2110601416389968</x:v>
      </x:c>
      <x:c r="P124" s="74" t="n">
        <x:f>IF(OR(J124="",G124="",K124=""),"",J124*1000000000*(G124/1000)^3/(12*(1-K124^2)))</x:f>
        <x:v>87890.625</x:v>
      </x:c>
      <x:c r="Q124" s="76" t="n">
        <x:f>IF(OR(I124="",P124=""),"",343.2^2/(2*PI())*SQRT(I124/P124))</x:f>
        <x:v>406.12094684066295</x:v>
      </x:c>
      <x:c r="R124" s="58" t="n">
        <x:v>4.7</x:v>
      </x:c>
      <x:c r="S124" s="62" t="n">
        <x:v>0.125</x:v>
      </x:c>
      <x:c r="T124" s="46" t="str">
        <x:v>20 °C / kuru nominal</x:v>
      </x:c>
      <x:c r="U124" s="46" t="str">
        <x:v>ORTA</x:v>
      </x:c>
      <x:c r="V124" s="46" t="str">
        <x:v>https://storefrontapi.commerce.xella.com/occ/v2/at/catalogs/atContentCatalog/versions/Online/xellamedia/Ytong-BAU-EPD-Porenbetonsteine.pdf</x:v>
      </x:c>
      <x:c r="W124" s="50" t="str">
        <x:v>Xella EPD aralığına oturtulmuş nominal sınıf: ρ=300–650 kg/m³, E≈750–3250 MPa, basınç dayanımı≈2.2–6.5 MPa. Gerçek ürün sınıfı ve nem için doğrulayın.</x:v>
      </x:c>
    </x:row>
    <x:row r="125">
      <x:c r="A125" s="46" t="str">
        <x:v>AAC-D550-T100</x:v>
      </x:c>
      <x:c r="B125" s="46" t="str">
        <x:v>AAC / Gazbeton</x:v>
      </x:c>
      <x:c r="C125" s="46" t="str">
        <x:v>Nominal kuru yoğunluk sınıfı 550 kg/m³</x:v>
      </x:c>
      <x:c r="D125" s="46" t="str">
        <x:v>GENERIC</x:v>
      </x:c>
      <x:c r="E125" s="46" t="str">
        <x:v>AAC D550</x:v>
      </x:c>
      <x:c r="F125" s="70" t="str">
        <x:v>RANGE_ANCHORED_ENGINEERING</x:v>
      </x:c>
      <x:c r="G125" s="54" t="n">
        <x:v>100</x:v>
      </x:c>
      <x:c r="H125" s="54" t="n">
        <x:v>550</x:v>
      </x:c>
      <x:c r="I125" s="74" t="n">
        <x:f>IF(OR(G125="",H125=""),"",G125/1000*H125)</x:f>
        <x:v>55</x:v>
      </x:c>
      <x:c r="J125" s="75" t="n">
        <x:v>2.4</x:v>
      </x:c>
      <x:c r="K125" s="75" t="n">
        <x:v>0.2</x:v>
      </x:c>
      <x:c r="L125" s="75" t="n">
        <x:v>0.025</x:v>
      </x:c>
      <x:c r="M125" s="75" t="n">
        <x:f>IF(OR(J125="",K125=""),"",J125/(2*(1+K125)))</x:f>
        <x:v>1</x:v>
      </x:c>
      <x:c r="N125" s="76" t="n">
        <x:f>IF(OR(J125="",H125="",K125=""),"",SQRT(J125*1000000000*(1-K125)/(H125*(1+K125)*(1-2*K125))))</x:f>
        <x:v>2201.927530252721</x:v>
      </x:c>
      <x:c r="O125" s="75" t="n">
        <x:f>IF(OR(H125="",N125=""),"",H125*N125/1000000)</x:f>
        <x:v>1.2110601416389968</x:v>
      </x:c>
      <x:c r="P125" s="74" t="n">
        <x:f>IF(OR(J125="",G125="",K125=""),"",J125*1000000000*(G125/1000)^3/(12*(1-K125^2)))</x:f>
        <x:v>208333.33333333337</x:v>
      </x:c>
      <x:c r="Q125" s="76" t="n">
        <x:f>IF(OR(I125="",P125=""),"",343.2^2/(2*PI())*SQRT(I125/P125))</x:f>
        <x:v>304.5907101304972</x:v>
      </x:c>
      <x:c r="R125" s="58" t="n">
        <x:v>4.7</x:v>
      </x:c>
      <x:c r="S125" s="62" t="n">
        <x:v>0.125</x:v>
      </x:c>
      <x:c r="T125" s="46" t="str">
        <x:v>20 °C / kuru nominal</x:v>
      </x:c>
      <x:c r="U125" s="46" t="str">
        <x:v>ORTA</x:v>
      </x:c>
      <x:c r="V125" s="46" t="str">
        <x:v>https://storefrontapi.commerce.xella.com/occ/v2/at/catalogs/atContentCatalog/versions/Online/xellamedia/Ytong-BAU-EPD-Porenbetonsteine.pdf</x:v>
      </x:c>
      <x:c r="W125" s="50" t="str">
        <x:v>Xella EPD aralığına oturtulmuş nominal sınıf: ρ=300–650 kg/m³, E≈750–3250 MPa, basınç dayanımı≈2.2–6.5 MPa. Gerçek ürün sınıfı ve nem için doğrulayın.</x:v>
      </x:c>
    </x:row>
    <x:row r="126">
      <x:c r="A126" s="46" t="str">
        <x:v>AAC-D550-T125</x:v>
      </x:c>
      <x:c r="B126" s="46" t="str">
        <x:v>AAC / Gazbeton</x:v>
      </x:c>
      <x:c r="C126" s="46" t="str">
        <x:v>Nominal kuru yoğunluk sınıfı 550 kg/m³</x:v>
      </x:c>
      <x:c r="D126" s="46" t="str">
        <x:v>GENERIC</x:v>
      </x:c>
      <x:c r="E126" s="46" t="str">
        <x:v>AAC D550</x:v>
      </x:c>
      <x:c r="F126" s="70" t="str">
        <x:v>RANGE_ANCHORED_ENGINEERING</x:v>
      </x:c>
      <x:c r="G126" s="54" t="n">
        <x:v>125</x:v>
      </x:c>
      <x:c r="H126" s="54" t="n">
        <x:v>550</x:v>
      </x:c>
      <x:c r="I126" s="74" t="n">
        <x:f>IF(OR(G126="",H126=""),"",G126/1000*H126)</x:f>
        <x:v>68.75</x:v>
      </x:c>
      <x:c r="J126" s="75" t="n">
        <x:v>2.4</x:v>
      </x:c>
      <x:c r="K126" s="75" t="n">
        <x:v>0.2</x:v>
      </x:c>
      <x:c r="L126" s="75" t="n">
        <x:v>0.025</x:v>
      </x:c>
      <x:c r="M126" s="75" t="n">
        <x:f>IF(OR(J126="",K126=""),"",J126/(2*(1+K126)))</x:f>
        <x:v>1</x:v>
      </x:c>
      <x:c r="N126" s="76" t="n">
        <x:f>IF(OR(J126="",H126="",K126=""),"",SQRT(J126*1000000000*(1-K126)/(H126*(1+K126)*(1-2*K126))))</x:f>
        <x:v>2201.927530252721</x:v>
      </x:c>
      <x:c r="O126" s="75" t="n">
        <x:f>IF(OR(H126="",N126=""),"",H126*N126/1000000)</x:f>
        <x:v>1.2110601416389968</x:v>
      </x:c>
      <x:c r="P126" s="74" t="n">
        <x:f>IF(OR(J126="",G126="",K126=""),"",J126*1000000000*(G126/1000)^3/(12*(1-K126^2)))</x:f>
        <x:v>406901.0416666667</x:v>
      </x:c>
      <x:c r="Q126" s="76" t="n">
        <x:f>IF(OR(I126="",P126=""),"",343.2^2/(2*PI())*SQRT(I126/P126))</x:f>
        <x:v>243.67256810439775</x:v>
      </x:c>
      <x:c r="R126" s="58" t="n">
        <x:v>4.7</x:v>
      </x:c>
      <x:c r="S126" s="62" t="n">
        <x:v>0.125</x:v>
      </x:c>
      <x:c r="T126" s="46" t="str">
        <x:v>20 °C / kuru nominal</x:v>
      </x:c>
      <x:c r="U126" s="46" t="str">
        <x:v>ORTA</x:v>
      </x:c>
      <x:c r="V126" s="46" t="str">
        <x:v>https://storefrontapi.commerce.xella.com/occ/v2/at/catalogs/atContentCatalog/versions/Online/xellamedia/Ytong-BAU-EPD-Porenbetonsteine.pdf</x:v>
      </x:c>
      <x:c r="W126" s="50" t="str">
        <x:v>Xella EPD aralığına oturtulmuş nominal sınıf: ρ=300–650 kg/m³, E≈750–3250 MPa, basınç dayanımı≈2.2–6.5 MPa. Gerçek ürün sınıfı ve nem için doğrulayın.</x:v>
      </x:c>
    </x:row>
    <x:row r="127">
      <x:c r="A127" s="46" t="str">
        <x:v>AAC-D550-T150</x:v>
      </x:c>
      <x:c r="B127" s="46" t="str">
        <x:v>AAC / Gazbeton</x:v>
      </x:c>
      <x:c r="C127" s="46" t="str">
        <x:v>Nominal kuru yoğunluk sınıfı 550 kg/m³</x:v>
      </x:c>
      <x:c r="D127" s="46" t="str">
        <x:v>GENERIC</x:v>
      </x:c>
      <x:c r="E127" s="46" t="str">
        <x:v>AAC D550</x:v>
      </x:c>
      <x:c r="F127" s="70" t="str">
        <x:v>RANGE_ANCHORED_ENGINEERING</x:v>
      </x:c>
      <x:c r="G127" s="54" t="n">
        <x:v>150</x:v>
      </x:c>
      <x:c r="H127" s="54" t="n">
        <x:v>550</x:v>
      </x:c>
      <x:c r="I127" s="74" t="n">
        <x:f>IF(OR(G127="",H127=""),"",G127/1000*H127)</x:f>
        <x:v>82.5</x:v>
      </x:c>
      <x:c r="J127" s="75" t="n">
        <x:v>2.4</x:v>
      </x:c>
      <x:c r="K127" s="75" t="n">
        <x:v>0.2</x:v>
      </x:c>
      <x:c r="L127" s="75" t="n">
        <x:v>0.025</x:v>
      </x:c>
      <x:c r="M127" s="75" t="n">
        <x:f>IF(OR(J127="",K127=""),"",J127/(2*(1+K127)))</x:f>
        <x:v>1</x:v>
      </x:c>
      <x:c r="N127" s="76" t="n">
        <x:f>IF(OR(J127="",H127="",K127=""),"",SQRT(J127*1000000000*(1-K127)/(H127*(1+K127)*(1-2*K127))))</x:f>
        <x:v>2201.927530252721</x:v>
      </x:c>
      <x:c r="O127" s="75" t="n">
        <x:f>IF(OR(H127="",N127=""),"",H127*N127/1000000)</x:f>
        <x:v>1.2110601416389968</x:v>
      </x:c>
      <x:c r="P127" s="74" t="n">
        <x:f>IF(OR(J127="",G127="",K127=""),"",J127*1000000000*(G127/1000)^3/(12*(1-K127^2)))</x:f>
        <x:v>703125</x:v>
      </x:c>
      <x:c r="Q127" s="76" t="n">
        <x:f>IF(OR(I127="",P127=""),"",343.2^2/(2*PI())*SQRT(I127/P127))</x:f>
        <x:v>203.06047342033148</x:v>
      </x:c>
      <x:c r="R127" s="58" t="n">
        <x:v>4.7</x:v>
      </x:c>
      <x:c r="S127" s="62" t="n">
        <x:v>0.125</x:v>
      </x:c>
      <x:c r="T127" s="46" t="str">
        <x:v>20 °C / kuru nominal</x:v>
      </x:c>
      <x:c r="U127" s="46" t="str">
        <x:v>ORTA</x:v>
      </x:c>
      <x:c r="V127" s="46" t="str">
        <x:v>https://storefrontapi.commerce.xella.com/occ/v2/at/catalogs/atContentCatalog/versions/Online/xellamedia/Ytong-BAU-EPD-Porenbetonsteine.pdf</x:v>
      </x:c>
      <x:c r="W127" s="50" t="str">
        <x:v>Xella EPD aralığına oturtulmuş nominal sınıf: ρ=300–650 kg/m³, E≈750–3250 MPa, basınç dayanımı≈2.2–6.5 MPa. Gerçek ürün sınıfı ve nem için doğrulayın.</x:v>
      </x:c>
    </x:row>
    <x:row r="128">
      <x:c r="A128" s="46" t="str">
        <x:v>AAC-D550-T175</x:v>
      </x:c>
      <x:c r="B128" s="46" t="str">
        <x:v>AAC / Gazbeton</x:v>
      </x:c>
      <x:c r="C128" s="46" t="str">
        <x:v>Nominal kuru yoğunluk sınıfı 550 kg/m³</x:v>
      </x:c>
      <x:c r="D128" s="46" t="str">
        <x:v>GENERIC</x:v>
      </x:c>
      <x:c r="E128" s="46" t="str">
        <x:v>AAC D550</x:v>
      </x:c>
      <x:c r="F128" s="70" t="str">
        <x:v>RANGE_ANCHORED_ENGINEERING</x:v>
      </x:c>
      <x:c r="G128" s="54" t="n">
        <x:v>175</x:v>
      </x:c>
      <x:c r="H128" s="54" t="n">
        <x:v>550</x:v>
      </x:c>
      <x:c r="I128" s="74" t="n">
        <x:f>IF(OR(G128="",H128=""),"",G128/1000*H128)</x:f>
        <x:v>96.25</x:v>
      </x:c>
      <x:c r="J128" s="75" t="n">
        <x:v>2.4</x:v>
      </x:c>
      <x:c r="K128" s="75" t="n">
        <x:v>0.2</x:v>
      </x:c>
      <x:c r="L128" s="75" t="n">
        <x:v>0.025</x:v>
      </x:c>
      <x:c r="M128" s="75" t="n">
        <x:f>IF(OR(J128="",K128=""),"",J128/(2*(1+K128)))</x:f>
        <x:v>1</x:v>
      </x:c>
      <x:c r="N128" s="76" t="n">
        <x:f>IF(OR(J128="",H128="",K128=""),"",SQRT(J128*1000000000*(1-K128)/(H128*(1+K128)*(1-2*K128))))</x:f>
        <x:v>2201.927530252721</x:v>
      </x:c>
      <x:c r="O128" s="75" t="n">
        <x:f>IF(OR(H128="",N128=""),"",H128*N128/1000000)</x:f>
        <x:v>1.2110601416389968</x:v>
      </x:c>
      <x:c r="P128" s="74" t="n">
        <x:f>IF(OR(J128="",G128="",K128=""),"",J128*1000000000*(G128/1000)^3/(12*(1-K128^2)))</x:f>
        <x:v>1116536.458333333</x:v>
      </x:c>
      <x:c r="Q128" s="76" t="n">
        <x:f>IF(OR(I128="",P128=""),"",343.2^2/(2*PI())*SQRT(I128/P128))</x:f>
        <x:v>174.05183436028415</x:v>
      </x:c>
      <x:c r="R128" s="58" t="n">
        <x:v>4.7</x:v>
      </x:c>
      <x:c r="S128" s="62" t="n">
        <x:v>0.125</x:v>
      </x:c>
      <x:c r="T128" s="46" t="str">
        <x:v>20 °C / kuru nominal</x:v>
      </x:c>
      <x:c r="U128" s="46" t="str">
        <x:v>ORTA</x:v>
      </x:c>
      <x:c r="V128" s="46" t="str">
        <x:v>https://storefrontapi.commerce.xella.com/occ/v2/at/catalogs/atContentCatalog/versions/Online/xellamedia/Ytong-BAU-EPD-Porenbetonsteine.pdf</x:v>
      </x:c>
      <x:c r="W128" s="50" t="str">
        <x:v>Xella EPD aralığına oturtulmuş nominal sınıf: ρ=300–650 kg/m³, E≈750–3250 MPa, basınç dayanımı≈2.2–6.5 MPa. Gerçek ürün sınıfı ve nem için doğrulayın.</x:v>
      </x:c>
    </x:row>
    <x:row r="129">
      <x:c r="A129" s="46" t="str">
        <x:v>AAC-D550-T200</x:v>
      </x:c>
      <x:c r="B129" s="46" t="str">
        <x:v>AAC / Gazbeton</x:v>
      </x:c>
      <x:c r="C129" s="46" t="str">
        <x:v>Nominal kuru yoğunluk sınıfı 550 kg/m³</x:v>
      </x:c>
      <x:c r="D129" s="46" t="str">
        <x:v>GENERIC</x:v>
      </x:c>
      <x:c r="E129" s="46" t="str">
        <x:v>AAC D550</x:v>
      </x:c>
      <x:c r="F129" s="70" t="str">
        <x:v>RANGE_ANCHORED_ENGINEERING</x:v>
      </x:c>
      <x:c r="G129" s="54" t="n">
        <x:v>200</x:v>
      </x:c>
      <x:c r="H129" s="54" t="n">
        <x:v>550</x:v>
      </x:c>
      <x:c r="I129" s="74" t="n">
        <x:f>IF(OR(G129="",H129=""),"",G129/1000*H129)</x:f>
        <x:v>110</x:v>
      </x:c>
      <x:c r="J129" s="75" t="n">
        <x:v>2.4</x:v>
      </x:c>
      <x:c r="K129" s="75" t="n">
        <x:v>0.2</x:v>
      </x:c>
      <x:c r="L129" s="75" t="n">
        <x:v>0.025</x:v>
      </x:c>
      <x:c r="M129" s="75" t="n">
        <x:f>IF(OR(J129="",K129=""),"",J129/(2*(1+K129)))</x:f>
        <x:v>1</x:v>
      </x:c>
      <x:c r="N129" s="76" t="n">
        <x:f>IF(OR(J129="",H129="",K129=""),"",SQRT(J129*1000000000*(1-K129)/(H129*(1+K129)*(1-2*K129))))</x:f>
        <x:v>2201.927530252721</x:v>
      </x:c>
      <x:c r="O129" s="75" t="n">
        <x:f>IF(OR(H129="",N129=""),"",H129*N129/1000000)</x:f>
        <x:v>1.2110601416389968</x:v>
      </x:c>
      <x:c r="P129" s="74" t="n">
        <x:f>IF(OR(J129="",G129="",K129=""),"",J129*1000000000*(G129/1000)^3/(12*(1-K129^2)))</x:f>
        <x:v>1666666.666666667</x:v>
      </x:c>
      <x:c r="Q129" s="76" t="n">
        <x:f>IF(OR(I129="",P129=""),"",343.2^2/(2*PI())*SQRT(I129/P129))</x:f>
        <x:v>152.2953550652486</x:v>
      </x:c>
      <x:c r="R129" s="58" t="n">
        <x:v>4.7</x:v>
      </x:c>
      <x:c r="S129" s="62" t="n">
        <x:v>0.125</x:v>
      </x:c>
      <x:c r="T129" s="46" t="str">
        <x:v>20 °C / kuru nominal</x:v>
      </x:c>
      <x:c r="U129" s="46" t="str">
        <x:v>ORTA</x:v>
      </x:c>
      <x:c r="V129" s="46" t="str">
        <x:v>https://storefrontapi.commerce.xella.com/occ/v2/at/catalogs/atContentCatalog/versions/Online/xellamedia/Ytong-BAU-EPD-Porenbetonsteine.pdf</x:v>
      </x:c>
      <x:c r="W129" s="50" t="str">
        <x:v>Xella EPD aralığına oturtulmuş nominal sınıf: ρ=300–650 kg/m³, E≈750–3250 MPa, basınç dayanımı≈2.2–6.5 MPa. Gerçek ürün sınıfı ve nem için doğrulayın.</x:v>
      </x:c>
    </x:row>
    <x:row r="130">
      <x:c r="A130" s="46" t="str">
        <x:v>AAC-D550-T225</x:v>
      </x:c>
      <x:c r="B130" s="46" t="str">
        <x:v>AAC / Gazbeton</x:v>
      </x:c>
      <x:c r="C130" s="46" t="str">
        <x:v>Nominal kuru yoğunluk sınıfı 550 kg/m³</x:v>
      </x:c>
      <x:c r="D130" s="46" t="str">
        <x:v>GENERIC</x:v>
      </x:c>
      <x:c r="E130" s="46" t="str">
        <x:v>AAC D550</x:v>
      </x:c>
      <x:c r="F130" s="70" t="str">
        <x:v>RANGE_ANCHORED_ENGINEERING</x:v>
      </x:c>
      <x:c r="G130" s="54" t="n">
        <x:v>225</x:v>
      </x:c>
      <x:c r="H130" s="54" t="n">
        <x:v>550</x:v>
      </x:c>
      <x:c r="I130" s="74" t="n">
        <x:f>IF(OR(G130="",H130=""),"",G130/1000*H130)</x:f>
        <x:v>123.75</x:v>
      </x:c>
      <x:c r="J130" s="75" t="n">
        <x:v>2.4</x:v>
      </x:c>
      <x:c r="K130" s="75" t="n">
        <x:v>0.2</x:v>
      </x:c>
      <x:c r="L130" s="75" t="n">
        <x:v>0.025</x:v>
      </x:c>
      <x:c r="M130" s="75" t="n">
        <x:f>IF(OR(J130="",K130=""),"",J130/(2*(1+K130)))</x:f>
        <x:v>1</x:v>
      </x:c>
      <x:c r="N130" s="76" t="n">
        <x:f>IF(OR(J130="",H130="",K130=""),"",SQRT(J130*1000000000*(1-K130)/(H130*(1+K130)*(1-2*K130))))</x:f>
        <x:v>2201.927530252721</x:v>
      </x:c>
      <x:c r="O130" s="75" t="n">
        <x:f>IF(OR(H130="",N130=""),"",H130*N130/1000000)</x:f>
        <x:v>1.2110601416389968</x:v>
      </x:c>
      <x:c r="P130" s="74" t="n">
        <x:f>IF(OR(J130="",G130="",K130=""),"",J130*1000000000*(G130/1000)^3/(12*(1-K130^2)))</x:f>
        <x:v>2373046.8750000005</x:v>
      </x:c>
      <x:c r="Q130" s="76" t="n">
        <x:f>IF(OR(I130="",P130=""),"",343.2^2/(2*PI())*SQRT(I130/P130))</x:f>
        <x:v>135.37364894688764</x:v>
      </x:c>
      <x:c r="R130" s="58" t="n">
        <x:v>4.7</x:v>
      </x:c>
      <x:c r="S130" s="62" t="n">
        <x:v>0.125</x:v>
      </x:c>
      <x:c r="T130" s="46" t="str">
        <x:v>20 °C / kuru nominal</x:v>
      </x:c>
      <x:c r="U130" s="46" t="str">
        <x:v>ORTA</x:v>
      </x:c>
      <x:c r="V130" s="46" t="str">
        <x:v>https://storefrontapi.commerce.xella.com/occ/v2/at/catalogs/atContentCatalog/versions/Online/xellamedia/Ytong-BAU-EPD-Porenbetonsteine.pdf</x:v>
      </x:c>
      <x:c r="W130" s="50" t="str">
        <x:v>Xella EPD aralığına oturtulmuş nominal sınıf: ρ=300–650 kg/m³, E≈750–3250 MPa, basınç dayanımı≈2.2–6.5 MPa. Gerçek ürün sınıfı ve nem için doğrulayın.</x:v>
      </x:c>
    </x:row>
    <x:row r="131">
      <x:c r="A131" s="46" t="str">
        <x:v>AAC-D550-T250</x:v>
      </x:c>
      <x:c r="B131" s="46" t="str">
        <x:v>AAC / Gazbeton</x:v>
      </x:c>
      <x:c r="C131" s="46" t="str">
        <x:v>Nominal kuru yoğunluk sınıfı 550 kg/m³</x:v>
      </x:c>
      <x:c r="D131" s="46" t="str">
        <x:v>GENERIC</x:v>
      </x:c>
      <x:c r="E131" s="46" t="str">
        <x:v>AAC D550</x:v>
      </x:c>
      <x:c r="F131" s="70" t="str">
        <x:v>RANGE_ANCHORED_ENGINEERING</x:v>
      </x:c>
      <x:c r="G131" s="54" t="n">
        <x:v>250</x:v>
      </x:c>
      <x:c r="H131" s="54" t="n">
        <x:v>550</x:v>
      </x:c>
      <x:c r="I131" s="74" t="n">
        <x:f>IF(OR(G131="",H131=""),"",G131/1000*H131)</x:f>
        <x:v>137.5</x:v>
      </x:c>
      <x:c r="J131" s="75" t="n">
        <x:v>2.4</x:v>
      </x:c>
      <x:c r="K131" s="75" t="n">
        <x:v>0.2</x:v>
      </x:c>
      <x:c r="L131" s="75" t="n">
        <x:v>0.025</x:v>
      </x:c>
      <x:c r="M131" s="75" t="n">
        <x:f>IF(OR(J131="",K131=""),"",J131/(2*(1+K131)))</x:f>
        <x:v>1</x:v>
      </x:c>
      <x:c r="N131" s="76" t="n">
        <x:f>IF(OR(J131="",H131="",K131=""),"",SQRT(J131*1000000000*(1-K131)/(H131*(1+K131)*(1-2*K131))))</x:f>
        <x:v>2201.927530252721</x:v>
      </x:c>
      <x:c r="O131" s="75" t="n">
        <x:f>IF(OR(H131="",N131=""),"",H131*N131/1000000)</x:f>
        <x:v>1.2110601416389968</x:v>
      </x:c>
      <x:c r="P131" s="74" t="n">
        <x:f>IF(OR(J131="",G131="",K131=""),"",J131*1000000000*(G131/1000)^3/(12*(1-K131^2)))</x:f>
        <x:v>3255208.3333333335</x:v>
      </x:c>
      <x:c r="Q131" s="76" t="n">
        <x:f>IF(OR(I131="",P131=""),"",343.2^2/(2*PI())*SQRT(I131/P131))</x:f>
        <x:v>121.83628405219888</x:v>
      </x:c>
      <x:c r="R131" s="58" t="n">
        <x:v>4.7</x:v>
      </x:c>
      <x:c r="S131" s="62" t="n">
        <x:v>0.125</x:v>
      </x:c>
      <x:c r="T131" s="46" t="str">
        <x:v>20 °C / kuru nominal</x:v>
      </x:c>
      <x:c r="U131" s="46" t="str">
        <x:v>ORTA</x:v>
      </x:c>
      <x:c r="V131" s="46" t="str">
        <x:v>https://storefrontapi.commerce.xella.com/occ/v2/at/catalogs/atContentCatalog/versions/Online/xellamedia/Ytong-BAU-EPD-Porenbetonsteine.pdf</x:v>
      </x:c>
      <x:c r="W131" s="50" t="str">
        <x:v>Xella EPD aralığına oturtulmuş nominal sınıf: ρ=300–650 kg/m³, E≈750–3250 MPa, basınç dayanımı≈2.2–6.5 MPa. Gerçek ürün sınıfı ve nem için doğrulayın.</x:v>
      </x:c>
    </x:row>
    <x:row r="132">
      <x:c r="A132" s="46" t="str">
        <x:v>AAC-D550-T300</x:v>
      </x:c>
      <x:c r="B132" s="46" t="str">
        <x:v>AAC / Gazbeton</x:v>
      </x:c>
      <x:c r="C132" s="46" t="str">
        <x:v>Nominal kuru yoğunluk sınıfı 550 kg/m³</x:v>
      </x:c>
      <x:c r="D132" s="46" t="str">
        <x:v>GENERIC</x:v>
      </x:c>
      <x:c r="E132" s="46" t="str">
        <x:v>AAC D550</x:v>
      </x:c>
      <x:c r="F132" s="70" t="str">
        <x:v>RANGE_ANCHORED_ENGINEERING</x:v>
      </x:c>
      <x:c r="G132" s="54" t="n">
        <x:v>300</x:v>
      </x:c>
      <x:c r="H132" s="54" t="n">
        <x:v>550</x:v>
      </x:c>
      <x:c r="I132" s="74" t="n">
        <x:f>IF(OR(G132="",H132=""),"",G132/1000*H132)</x:f>
        <x:v>165</x:v>
      </x:c>
      <x:c r="J132" s="75" t="n">
        <x:v>2.4</x:v>
      </x:c>
      <x:c r="K132" s="75" t="n">
        <x:v>0.2</x:v>
      </x:c>
      <x:c r="L132" s="75" t="n">
        <x:v>0.025</x:v>
      </x:c>
      <x:c r="M132" s="75" t="n">
        <x:f>IF(OR(J132="",K132=""),"",J132/(2*(1+K132)))</x:f>
        <x:v>1</x:v>
      </x:c>
      <x:c r="N132" s="76" t="n">
        <x:f>IF(OR(J132="",H132="",K132=""),"",SQRT(J132*1000000000*(1-K132)/(H132*(1+K132)*(1-2*K132))))</x:f>
        <x:v>2201.927530252721</x:v>
      </x:c>
      <x:c r="O132" s="75" t="n">
        <x:f>IF(OR(H132="",N132=""),"",H132*N132/1000000)</x:f>
        <x:v>1.2110601416389968</x:v>
      </x:c>
      <x:c r="P132" s="74" t="n">
        <x:f>IF(OR(J132="",G132="",K132=""),"",J132*1000000000*(G132/1000)^3/(12*(1-K132^2)))</x:f>
        <x:v>5625000</x:v>
      </x:c>
      <x:c r="Q132" s="76" t="n">
        <x:f>IF(OR(I132="",P132=""),"",343.2^2/(2*PI())*SQRT(I132/P132))</x:f>
        <x:v>101.53023671016574</x:v>
      </x:c>
      <x:c r="R132" s="58" t="n">
        <x:v>4.7</x:v>
      </x:c>
      <x:c r="S132" s="62" t="n">
        <x:v>0.125</x:v>
      </x:c>
      <x:c r="T132" s="46" t="str">
        <x:v>20 °C / kuru nominal</x:v>
      </x:c>
      <x:c r="U132" s="46" t="str">
        <x:v>ORTA</x:v>
      </x:c>
      <x:c r="V132" s="46" t="str">
        <x:v>https://storefrontapi.commerce.xella.com/occ/v2/at/catalogs/atContentCatalog/versions/Online/xellamedia/Ytong-BAU-EPD-Porenbetonsteine.pdf</x:v>
      </x:c>
      <x:c r="W132" s="50" t="str">
        <x:v>Xella EPD aralığına oturtulmuş nominal sınıf: ρ=300–650 kg/m³, E≈750–3250 MPa, basınç dayanımı≈2.2–6.5 MPa. Gerçek ürün sınıfı ve nem için doğrulayın.</x:v>
      </x:c>
    </x:row>
    <x:row r="133">
      <x:c r="A133" s="46" t="str">
        <x:v>AAC-D550-T375</x:v>
      </x:c>
      <x:c r="B133" s="46" t="str">
        <x:v>AAC / Gazbeton</x:v>
      </x:c>
      <x:c r="C133" s="46" t="str">
        <x:v>Nominal kuru yoğunluk sınıfı 550 kg/m³</x:v>
      </x:c>
      <x:c r="D133" s="46" t="str">
        <x:v>GENERIC</x:v>
      </x:c>
      <x:c r="E133" s="46" t="str">
        <x:v>AAC D550</x:v>
      </x:c>
      <x:c r="F133" s="70" t="str">
        <x:v>RANGE_ANCHORED_ENGINEERING</x:v>
      </x:c>
      <x:c r="G133" s="54" t="n">
        <x:v>375</x:v>
      </x:c>
      <x:c r="H133" s="54" t="n">
        <x:v>550</x:v>
      </x:c>
      <x:c r="I133" s="74" t="n">
        <x:f>IF(OR(G133="",H133=""),"",G133/1000*H133)</x:f>
        <x:v>206.25</x:v>
      </x:c>
      <x:c r="J133" s="75" t="n">
        <x:v>2.4</x:v>
      </x:c>
      <x:c r="K133" s="75" t="n">
        <x:v>0.2</x:v>
      </x:c>
      <x:c r="L133" s="75" t="n">
        <x:v>0.025</x:v>
      </x:c>
      <x:c r="M133" s="75" t="n">
        <x:f>IF(OR(J133="",K133=""),"",J133/(2*(1+K133)))</x:f>
        <x:v>1</x:v>
      </x:c>
      <x:c r="N133" s="76" t="n">
        <x:f>IF(OR(J133="",H133="",K133=""),"",SQRT(J133*1000000000*(1-K133)/(H133*(1+K133)*(1-2*K133))))</x:f>
        <x:v>2201.927530252721</x:v>
      </x:c>
      <x:c r="O133" s="75" t="n">
        <x:f>IF(OR(H133="",N133=""),"",H133*N133/1000000)</x:f>
        <x:v>1.2110601416389968</x:v>
      </x:c>
      <x:c r="P133" s="74" t="n">
        <x:f>IF(OR(J133="",G133="",K133=""),"",J133*1000000000*(G133/1000)^3/(12*(1-K133^2)))</x:f>
        <x:v>10986328.125</x:v>
      </x:c>
      <x:c r="Q133" s="76" t="n">
        <x:f>IF(OR(I133="",P133=""),"",343.2^2/(2*PI())*SQRT(I133/P133))</x:f>
        <x:v>81.22418936813258</x:v>
      </x:c>
      <x:c r="R133" s="58" t="n">
        <x:v>4.7</x:v>
      </x:c>
      <x:c r="S133" s="62" t="n">
        <x:v>0.125</x:v>
      </x:c>
      <x:c r="T133" s="46" t="str">
        <x:v>20 °C / kuru nominal</x:v>
      </x:c>
      <x:c r="U133" s="46" t="str">
        <x:v>ORTA</x:v>
      </x:c>
      <x:c r="V133" s="46" t="str">
        <x:v>https://storefrontapi.commerce.xella.com/occ/v2/at/catalogs/atContentCatalog/versions/Online/xellamedia/Ytong-BAU-EPD-Porenbetonsteine.pdf</x:v>
      </x:c>
      <x:c r="W133" s="50" t="str">
        <x:v>Xella EPD aralığına oturtulmuş nominal sınıf: ρ=300–650 kg/m³, E≈750–3250 MPa, basınç dayanımı≈2.2–6.5 MPa. Gerçek ürün sınıfı ve nem için doğrulayın.</x:v>
      </x:c>
    </x:row>
    <x:row r="134">
      <x:c r="A134" s="46" t="str">
        <x:v>AAC-D550-T450</x:v>
      </x:c>
      <x:c r="B134" s="46" t="str">
        <x:v>AAC / Gazbeton</x:v>
      </x:c>
      <x:c r="C134" s="46" t="str">
        <x:v>Nominal kuru yoğunluk sınıfı 550 kg/m³</x:v>
      </x:c>
      <x:c r="D134" s="46" t="str">
        <x:v>GENERIC</x:v>
      </x:c>
      <x:c r="E134" s="46" t="str">
        <x:v>AAC D550</x:v>
      </x:c>
      <x:c r="F134" s="70" t="str">
        <x:v>RANGE_ANCHORED_ENGINEERING</x:v>
      </x:c>
      <x:c r="G134" s="54" t="n">
        <x:v>450</x:v>
      </x:c>
      <x:c r="H134" s="54" t="n">
        <x:v>550</x:v>
      </x:c>
      <x:c r="I134" s="74" t="n">
        <x:f>IF(OR(G134="",H134=""),"",G134/1000*H134)</x:f>
        <x:v>247.5</x:v>
      </x:c>
      <x:c r="J134" s="75" t="n">
        <x:v>2.4</x:v>
      </x:c>
      <x:c r="K134" s="75" t="n">
        <x:v>0.2</x:v>
      </x:c>
      <x:c r="L134" s="75" t="n">
        <x:v>0.025</x:v>
      </x:c>
      <x:c r="M134" s="75" t="n">
        <x:f>IF(OR(J134="",K134=""),"",J134/(2*(1+K134)))</x:f>
        <x:v>1</x:v>
      </x:c>
      <x:c r="N134" s="76" t="n">
        <x:f>IF(OR(J134="",H134="",K134=""),"",SQRT(J134*1000000000*(1-K134)/(H134*(1+K134)*(1-2*K134))))</x:f>
        <x:v>2201.927530252721</x:v>
      </x:c>
      <x:c r="O134" s="75" t="n">
        <x:f>IF(OR(H134="",N134=""),"",H134*N134/1000000)</x:f>
        <x:v>1.2110601416389968</x:v>
      </x:c>
      <x:c r="P134" s="74" t="n">
        <x:f>IF(OR(J134="",G134="",K134=""),"",J134*1000000000*(G134/1000)^3/(12*(1-K134^2)))</x:f>
        <x:v>18984375.000000004</x:v>
      </x:c>
      <x:c r="Q134" s="76" t="n">
        <x:f>IF(OR(I134="",P134=""),"",343.2^2/(2*PI())*SQRT(I134/P134))</x:f>
        <x:v>67.68682447344382</x:v>
      </x:c>
      <x:c r="R134" s="58" t="n">
        <x:v>4.7</x:v>
      </x:c>
      <x:c r="S134" s="62" t="n">
        <x:v>0.125</x:v>
      </x:c>
      <x:c r="T134" s="46" t="str">
        <x:v>20 °C / kuru nominal</x:v>
      </x:c>
      <x:c r="U134" s="46" t="str">
        <x:v>ORTA</x:v>
      </x:c>
      <x:c r="V134" s="46" t="str">
        <x:v>https://storefrontapi.commerce.xella.com/occ/v2/at/catalogs/atContentCatalog/versions/Online/xellamedia/Ytong-BAU-EPD-Porenbetonsteine.pdf</x:v>
      </x:c>
      <x:c r="W134" s="50" t="str">
        <x:v>Xella EPD aralığına oturtulmuş nominal sınıf: ρ=300–650 kg/m³, E≈750–3250 MPa, basınç dayanımı≈2.2–6.5 MPa. Gerçek ürün sınıfı ve nem için doğrulayın.</x:v>
      </x:c>
    </x:row>
    <x:row r="135">
      <x:c r="A135" s="46" t="str">
        <x:v>AAC-D550-T500</x:v>
      </x:c>
      <x:c r="B135" s="46" t="str">
        <x:v>AAC / Gazbeton</x:v>
      </x:c>
      <x:c r="C135" s="46" t="str">
        <x:v>Nominal kuru yoğunluk sınıfı 550 kg/m³</x:v>
      </x:c>
      <x:c r="D135" s="46" t="str">
        <x:v>GENERIC</x:v>
      </x:c>
      <x:c r="E135" s="46" t="str">
        <x:v>AAC D550</x:v>
      </x:c>
      <x:c r="F135" s="70" t="str">
        <x:v>RANGE_ANCHORED_ENGINEERING</x:v>
      </x:c>
      <x:c r="G135" s="54" t="n">
        <x:v>500</x:v>
      </x:c>
      <x:c r="H135" s="54" t="n">
        <x:v>550</x:v>
      </x:c>
      <x:c r="I135" s="74" t="n">
        <x:f>IF(OR(G135="",H135=""),"",G135/1000*H135)</x:f>
        <x:v>275</x:v>
      </x:c>
      <x:c r="J135" s="75" t="n">
        <x:v>2.4</x:v>
      </x:c>
      <x:c r="K135" s="75" t="n">
        <x:v>0.2</x:v>
      </x:c>
      <x:c r="L135" s="75" t="n">
        <x:v>0.025</x:v>
      </x:c>
      <x:c r="M135" s="75" t="n">
        <x:f>IF(OR(J135="",K135=""),"",J135/(2*(1+K135)))</x:f>
        <x:v>1</x:v>
      </x:c>
      <x:c r="N135" s="76" t="n">
        <x:f>IF(OR(J135="",H135="",K135=""),"",SQRT(J135*1000000000*(1-K135)/(H135*(1+K135)*(1-2*K135))))</x:f>
        <x:v>2201.927530252721</x:v>
      </x:c>
      <x:c r="O135" s="75" t="n">
        <x:f>IF(OR(H135="",N135=""),"",H135*N135/1000000)</x:f>
        <x:v>1.2110601416389968</x:v>
      </x:c>
      <x:c r="P135" s="74" t="n">
        <x:f>IF(OR(J135="",G135="",K135=""),"",J135*1000000000*(G135/1000)^3/(12*(1-K135^2)))</x:f>
        <x:v>26041666.666666668</x:v>
      </x:c>
      <x:c r="Q135" s="76" t="n">
        <x:f>IF(OR(I135="",P135=""),"",343.2^2/(2*PI())*SQRT(I135/P135))</x:f>
        <x:v>60.91814202609944</x:v>
      </x:c>
      <x:c r="R135" s="58" t="n">
        <x:v>4.7</x:v>
      </x:c>
      <x:c r="S135" s="62" t="n">
        <x:v>0.125</x:v>
      </x:c>
      <x:c r="T135" s="46" t="str">
        <x:v>20 °C / kuru nominal</x:v>
      </x:c>
      <x:c r="U135" s="46" t="str">
        <x:v>ORTA</x:v>
      </x:c>
      <x:c r="V135" s="46" t="str">
        <x:v>https://storefrontapi.commerce.xella.com/occ/v2/at/catalogs/atContentCatalog/versions/Online/xellamedia/Ytong-BAU-EPD-Porenbetonsteine.pdf</x:v>
      </x:c>
      <x:c r="W135" s="50" t="str">
        <x:v>Xella EPD aralığına oturtulmuş nominal sınıf: ρ=300–650 kg/m³, E≈750–3250 MPa, basınç dayanımı≈2.2–6.5 MPa. Gerçek ürün sınıfı ve nem için doğrulayın.</x:v>
      </x:c>
    </x:row>
    <x:row r="136">
      <x:c r="A136" s="46" t="str">
        <x:v>AAC-D600-T50</x:v>
      </x:c>
      <x:c r="B136" s="46" t="str">
        <x:v>AAC / Gazbeton</x:v>
      </x:c>
      <x:c r="C136" s="46" t="str">
        <x:v>Nominal kuru yoğunluk sınıfı 600 kg/m³</x:v>
      </x:c>
      <x:c r="D136" s="46" t="str">
        <x:v>GENERIC</x:v>
      </x:c>
      <x:c r="E136" s="46" t="str">
        <x:v>AAC D600</x:v>
      </x:c>
      <x:c r="F136" s="70" t="str">
        <x:v>RANGE_ANCHORED_ENGINEERING</x:v>
      </x:c>
      <x:c r="G136" s="54" t="n">
        <x:v>50</x:v>
      </x:c>
      <x:c r="H136" s="54" t="n">
        <x:v>600</x:v>
      </x:c>
      <x:c r="I136" s="74" t="n">
        <x:f>IF(OR(G136="",H136=""),"",G136/1000*H136)</x:f>
        <x:v>30</x:v>
      </x:c>
      <x:c r="J136" s="75" t="n">
        <x:v>2.8</x:v>
      </x:c>
      <x:c r="K136" s="75" t="n">
        <x:v>0.2</x:v>
      </x:c>
      <x:c r="L136" s="75" t="n">
        <x:v>0.025</x:v>
      </x:c>
      <x:c r="M136" s="75" t="n">
        <x:f>IF(OR(J136="",K136=""),"",J136/(2*(1+K136)))</x:f>
        <x:v>1.1666666666666667</x:v>
      </x:c>
      <x:c r="N136" s="76" t="n">
        <x:f>IF(OR(J136="",H136="",K136=""),"",SQRT(J136*1000000000*(1-K136)/(H136*(1+K136)*(1-2*K136))))</x:f>
        <x:v>2277.1001702132444</x:v>
      </x:c>
      <x:c r="O136" s="75" t="n">
        <x:f>IF(OR(H136="",N136=""),"",H136*N136/1000000)</x:f>
        <x:v>1.3662601021279466</x:v>
      </x:c>
      <x:c r="P136" s="74" t="n">
        <x:f>IF(OR(J136="",G136="",K136=""),"",J136*1000000000*(G136/1000)^3/(12*(1-K136^2)))</x:f>
        <x:v>30381.94444444445</x:v>
      </x:c>
      <x:c r="Q136" s="76" t="n">
        <x:f>IF(OR(I136="",P136=""),"",343.2^2/(2*PI())*SQRT(I136/P136))</x:f>
        <x:v>589.0708532446864</x:v>
      </x:c>
      <x:c r="R136" s="58" t="n">
        <x:v>5.5</x:v>
      </x:c>
      <x:c r="S136" s="62" t="n">
        <x:v>0.145</x:v>
      </x:c>
      <x:c r="T136" s="46" t="str">
        <x:v>20 °C / kuru nominal</x:v>
      </x:c>
      <x:c r="U136" s="46" t="str">
        <x:v>ORTA</x:v>
      </x:c>
      <x:c r="V136" s="46" t="str">
        <x:v>https://storefrontapi.commerce.xella.com/occ/v2/at/catalogs/atContentCatalog/versions/Online/xellamedia/Ytong-BAU-EPD-Porenbetonsteine.pdf</x:v>
      </x:c>
      <x:c r="W136" s="50" t="str">
        <x:v>Xella EPD aralığına oturtulmuş nominal sınıf: ρ=300–650 kg/m³, E≈750–3250 MPa, basınç dayanımı≈2.2–6.5 MPa. Gerçek ürün sınıfı ve nem için doğrulayın.</x:v>
      </x:c>
    </x:row>
    <x:row r="137">
      <x:c r="A137" s="46" t="str">
        <x:v>AAC-D600-T75</x:v>
      </x:c>
      <x:c r="B137" s="46" t="str">
        <x:v>AAC / Gazbeton</x:v>
      </x:c>
      <x:c r="C137" s="46" t="str">
        <x:v>Nominal kuru yoğunluk sınıfı 600 kg/m³</x:v>
      </x:c>
      <x:c r="D137" s="46" t="str">
        <x:v>GENERIC</x:v>
      </x:c>
      <x:c r="E137" s="46" t="str">
        <x:v>AAC D600</x:v>
      </x:c>
      <x:c r="F137" s="70" t="str">
        <x:v>RANGE_ANCHORED_ENGINEERING</x:v>
      </x:c>
      <x:c r="G137" s="54" t="n">
        <x:v>75</x:v>
      </x:c>
      <x:c r="H137" s="54" t="n">
        <x:v>600</x:v>
      </x:c>
      <x:c r="I137" s="74" t="n">
        <x:f>IF(OR(G137="",H137=""),"",G137/1000*H137)</x:f>
        <x:v>45</x:v>
      </x:c>
      <x:c r="J137" s="75" t="n">
        <x:v>2.8</x:v>
      </x:c>
      <x:c r="K137" s="75" t="n">
        <x:v>0.2</x:v>
      </x:c>
      <x:c r="L137" s="75" t="n">
        <x:v>0.025</x:v>
      </x:c>
      <x:c r="M137" s="75" t="n">
        <x:f>IF(OR(J137="",K137=""),"",J137/(2*(1+K137)))</x:f>
        <x:v>1.1666666666666667</x:v>
      </x:c>
      <x:c r="N137" s="76" t="n">
        <x:f>IF(OR(J137="",H137="",K137=""),"",SQRT(J137*1000000000*(1-K137)/(H137*(1+K137)*(1-2*K137))))</x:f>
        <x:v>2277.1001702132444</x:v>
      </x:c>
      <x:c r="O137" s="75" t="n">
        <x:f>IF(OR(H137="",N137=""),"",H137*N137/1000000)</x:f>
        <x:v>1.3662601021279466</x:v>
      </x:c>
      <x:c r="P137" s="74" t="n">
        <x:f>IF(OR(J137="",G137="",K137=""),"",J137*1000000000*(G137/1000)^3/(12*(1-K137^2)))</x:f>
        <x:v>102539.0625</x:v>
      </x:c>
      <x:c r="Q137" s="76" t="n">
        <x:f>IF(OR(I137="",P137=""),"",343.2^2/(2*PI())*SQRT(I137/P137))</x:f>
        <x:v>392.7139021631243</x:v>
      </x:c>
      <x:c r="R137" s="58" t="n">
        <x:v>5.5</x:v>
      </x:c>
      <x:c r="S137" s="62" t="n">
        <x:v>0.145</x:v>
      </x:c>
      <x:c r="T137" s="46" t="str">
        <x:v>20 °C / kuru nominal</x:v>
      </x:c>
      <x:c r="U137" s="46" t="str">
        <x:v>ORTA</x:v>
      </x:c>
      <x:c r="V137" s="46" t="str">
        <x:v>https://storefrontapi.commerce.xella.com/occ/v2/at/catalogs/atContentCatalog/versions/Online/xellamedia/Ytong-BAU-EPD-Porenbetonsteine.pdf</x:v>
      </x:c>
      <x:c r="W137" s="50" t="str">
        <x:v>Xella EPD aralığına oturtulmuş nominal sınıf: ρ=300–650 kg/m³, E≈750–3250 MPa, basınç dayanımı≈2.2–6.5 MPa. Gerçek ürün sınıfı ve nem için doğrulayın.</x:v>
      </x:c>
    </x:row>
    <x:row r="138">
      <x:c r="A138" s="46" t="str">
        <x:v>AAC-D600-T100</x:v>
      </x:c>
      <x:c r="B138" s="46" t="str">
        <x:v>AAC / Gazbeton</x:v>
      </x:c>
      <x:c r="C138" s="46" t="str">
        <x:v>Nominal kuru yoğunluk sınıfı 600 kg/m³</x:v>
      </x:c>
      <x:c r="D138" s="46" t="str">
        <x:v>GENERIC</x:v>
      </x:c>
      <x:c r="E138" s="46" t="str">
        <x:v>AAC D600</x:v>
      </x:c>
      <x:c r="F138" s="70" t="str">
        <x:v>RANGE_ANCHORED_ENGINEERING</x:v>
      </x:c>
      <x:c r="G138" s="54" t="n">
        <x:v>100</x:v>
      </x:c>
      <x:c r="H138" s="54" t="n">
        <x:v>600</x:v>
      </x:c>
      <x:c r="I138" s="74" t="n">
        <x:f>IF(OR(G138="",H138=""),"",G138/1000*H138)</x:f>
        <x:v>60</x:v>
      </x:c>
      <x:c r="J138" s="75" t="n">
        <x:v>2.8</x:v>
      </x:c>
      <x:c r="K138" s="75" t="n">
        <x:v>0.2</x:v>
      </x:c>
      <x:c r="L138" s="75" t="n">
        <x:v>0.025</x:v>
      </x:c>
      <x:c r="M138" s="75" t="n">
        <x:f>IF(OR(J138="",K138=""),"",J138/(2*(1+K138)))</x:f>
        <x:v>1.1666666666666667</x:v>
      </x:c>
      <x:c r="N138" s="76" t="n">
        <x:f>IF(OR(J138="",H138="",K138=""),"",SQRT(J138*1000000000*(1-K138)/(H138*(1+K138)*(1-2*K138))))</x:f>
        <x:v>2277.1001702132444</x:v>
      </x:c>
      <x:c r="O138" s="75" t="n">
        <x:f>IF(OR(H138="",N138=""),"",H138*N138/1000000)</x:f>
        <x:v>1.3662601021279466</x:v>
      </x:c>
      <x:c r="P138" s="74" t="n">
        <x:f>IF(OR(J138="",G138="",K138=""),"",J138*1000000000*(G138/1000)^3/(12*(1-K138^2)))</x:f>
        <x:v>243055.5555555556</x:v>
      </x:c>
      <x:c r="Q138" s="76" t="n">
        <x:f>IF(OR(I138="",P138=""),"",343.2^2/(2*PI())*SQRT(I138/P138))</x:f>
        <x:v>294.5354266223432</x:v>
      </x:c>
      <x:c r="R138" s="58" t="n">
        <x:v>5.5</x:v>
      </x:c>
      <x:c r="S138" s="62" t="n">
        <x:v>0.145</x:v>
      </x:c>
      <x:c r="T138" s="46" t="str">
        <x:v>20 °C / kuru nominal</x:v>
      </x:c>
      <x:c r="U138" s="46" t="str">
        <x:v>ORTA</x:v>
      </x:c>
      <x:c r="V138" s="46" t="str">
        <x:v>https://storefrontapi.commerce.xella.com/occ/v2/at/catalogs/atContentCatalog/versions/Online/xellamedia/Ytong-BAU-EPD-Porenbetonsteine.pdf</x:v>
      </x:c>
      <x:c r="W138" s="50" t="str">
        <x:v>Xella EPD aralığına oturtulmuş nominal sınıf: ρ=300–650 kg/m³, E≈750–3250 MPa, basınç dayanımı≈2.2–6.5 MPa. Gerçek ürün sınıfı ve nem için doğrulayın.</x:v>
      </x:c>
    </x:row>
    <x:row r="139">
      <x:c r="A139" s="46" t="str">
        <x:v>AAC-D600-T125</x:v>
      </x:c>
      <x:c r="B139" s="46" t="str">
        <x:v>AAC / Gazbeton</x:v>
      </x:c>
      <x:c r="C139" s="46" t="str">
        <x:v>Nominal kuru yoğunluk sınıfı 600 kg/m³</x:v>
      </x:c>
      <x:c r="D139" s="46" t="str">
        <x:v>GENERIC</x:v>
      </x:c>
      <x:c r="E139" s="46" t="str">
        <x:v>AAC D600</x:v>
      </x:c>
      <x:c r="F139" s="70" t="str">
        <x:v>RANGE_ANCHORED_ENGINEERING</x:v>
      </x:c>
      <x:c r="G139" s="54" t="n">
        <x:v>125</x:v>
      </x:c>
      <x:c r="H139" s="54" t="n">
        <x:v>600</x:v>
      </x:c>
      <x:c r="I139" s="74" t="n">
        <x:f>IF(OR(G139="",H139=""),"",G139/1000*H139)</x:f>
        <x:v>75</x:v>
      </x:c>
      <x:c r="J139" s="75" t="n">
        <x:v>2.8</x:v>
      </x:c>
      <x:c r="K139" s="75" t="n">
        <x:v>0.2</x:v>
      </x:c>
      <x:c r="L139" s="75" t="n">
        <x:v>0.025</x:v>
      </x:c>
      <x:c r="M139" s="75" t="n">
        <x:f>IF(OR(J139="",K139=""),"",J139/(2*(1+K139)))</x:f>
        <x:v>1.1666666666666667</x:v>
      </x:c>
      <x:c r="N139" s="76" t="n">
        <x:f>IF(OR(J139="",H139="",K139=""),"",SQRT(J139*1000000000*(1-K139)/(H139*(1+K139)*(1-2*K139))))</x:f>
        <x:v>2277.1001702132444</x:v>
      </x:c>
      <x:c r="O139" s="75" t="n">
        <x:f>IF(OR(H139="",N139=""),"",H139*N139/1000000)</x:f>
        <x:v>1.3662601021279466</x:v>
      </x:c>
      <x:c r="P139" s="74" t="n">
        <x:f>IF(OR(J139="",G139="",K139=""),"",J139*1000000000*(G139/1000)^3/(12*(1-K139^2)))</x:f>
        <x:v>474717.88194444444</x:v>
      </x:c>
      <x:c r="Q139" s="76" t="n">
        <x:f>IF(OR(I139="",P139=""),"",343.2^2/(2*PI())*SQRT(I139/P139))</x:f>
        <x:v>235.62834129787458</x:v>
      </x:c>
      <x:c r="R139" s="58" t="n">
        <x:v>5.5</x:v>
      </x:c>
      <x:c r="S139" s="62" t="n">
        <x:v>0.145</x:v>
      </x:c>
      <x:c r="T139" s="46" t="str">
        <x:v>20 °C / kuru nominal</x:v>
      </x:c>
      <x:c r="U139" s="46" t="str">
        <x:v>ORTA</x:v>
      </x:c>
      <x:c r="V139" s="46" t="str">
        <x:v>https://storefrontapi.commerce.xella.com/occ/v2/at/catalogs/atContentCatalog/versions/Online/xellamedia/Ytong-BAU-EPD-Porenbetonsteine.pdf</x:v>
      </x:c>
      <x:c r="W139" s="50" t="str">
        <x:v>Xella EPD aralığına oturtulmuş nominal sınıf: ρ=300–650 kg/m³, E≈750–3250 MPa, basınç dayanımı≈2.2–6.5 MPa. Gerçek ürün sınıfı ve nem için doğrulayın.</x:v>
      </x:c>
    </x:row>
    <x:row r="140">
      <x:c r="A140" s="46" t="str">
        <x:v>AAC-D600-T150</x:v>
      </x:c>
      <x:c r="B140" s="46" t="str">
        <x:v>AAC / Gazbeton</x:v>
      </x:c>
      <x:c r="C140" s="46" t="str">
        <x:v>Nominal kuru yoğunluk sınıfı 600 kg/m³</x:v>
      </x:c>
      <x:c r="D140" s="46" t="str">
        <x:v>GENERIC</x:v>
      </x:c>
      <x:c r="E140" s="46" t="str">
        <x:v>AAC D600</x:v>
      </x:c>
      <x:c r="F140" s="70" t="str">
        <x:v>RANGE_ANCHORED_ENGINEERING</x:v>
      </x:c>
      <x:c r="G140" s="54" t="n">
        <x:v>150</x:v>
      </x:c>
      <x:c r="H140" s="54" t="n">
        <x:v>600</x:v>
      </x:c>
      <x:c r="I140" s="74" t="n">
        <x:f>IF(OR(G140="",H140=""),"",G140/1000*H140)</x:f>
        <x:v>90</x:v>
      </x:c>
      <x:c r="J140" s="75" t="n">
        <x:v>2.8</x:v>
      </x:c>
      <x:c r="K140" s="75" t="n">
        <x:v>0.2</x:v>
      </x:c>
      <x:c r="L140" s="75" t="n">
        <x:v>0.025</x:v>
      </x:c>
      <x:c r="M140" s="75" t="n">
        <x:f>IF(OR(J140="",K140=""),"",J140/(2*(1+K140)))</x:f>
        <x:v>1.1666666666666667</x:v>
      </x:c>
      <x:c r="N140" s="76" t="n">
        <x:f>IF(OR(J140="",H140="",K140=""),"",SQRT(J140*1000000000*(1-K140)/(H140*(1+K140)*(1-2*K140))))</x:f>
        <x:v>2277.1001702132444</x:v>
      </x:c>
      <x:c r="O140" s="75" t="n">
        <x:f>IF(OR(H140="",N140=""),"",H140*N140/1000000)</x:f>
        <x:v>1.3662601021279466</x:v>
      </x:c>
      <x:c r="P140" s="74" t="n">
        <x:f>IF(OR(J140="",G140="",K140=""),"",J140*1000000000*(G140/1000)^3/(12*(1-K140^2)))</x:f>
        <x:v>820312.5</x:v>
      </x:c>
      <x:c r="Q140" s="76" t="n">
        <x:f>IF(OR(I140="",P140=""),"",343.2^2/(2*PI())*SQRT(I140/P140))</x:f>
        <x:v>196.35695108156216</x:v>
      </x:c>
      <x:c r="R140" s="58" t="n">
        <x:v>5.5</x:v>
      </x:c>
      <x:c r="S140" s="62" t="n">
        <x:v>0.145</x:v>
      </x:c>
      <x:c r="T140" s="46" t="str">
        <x:v>20 °C / kuru nominal</x:v>
      </x:c>
      <x:c r="U140" s="46" t="str">
        <x:v>ORTA</x:v>
      </x:c>
      <x:c r="V140" s="46" t="str">
        <x:v>https://storefrontapi.commerce.xella.com/occ/v2/at/catalogs/atContentCatalog/versions/Online/xellamedia/Ytong-BAU-EPD-Porenbetonsteine.pdf</x:v>
      </x:c>
      <x:c r="W140" s="50" t="str">
        <x:v>Xella EPD aralığına oturtulmuş nominal sınıf: ρ=300–650 kg/m³, E≈750–3250 MPa, basınç dayanımı≈2.2–6.5 MPa. Gerçek ürün sınıfı ve nem için doğrulayın.</x:v>
      </x:c>
    </x:row>
    <x:row r="141">
      <x:c r="A141" s="46" t="str">
        <x:v>AAC-D600-T175</x:v>
      </x:c>
      <x:c r="B141" s="46" t="str">
        <x:v>AAC / Gazbeton</x:v>
      </x:c>
      <x:c r="C141" s="46" t="str">
        <x:v>Nominal kuru yoğunluk sınıfı 600 kg/m³</x:v>
      </x:c>
      <x:c r="D141" s="46" t="str">
        <x:v>GENERIC</x:v>
      </x:c>
      <x:c r="E141" s="46" t="str">
        <x:v>AAC D600</x:v>
      </x:c>
      <x:c r="F141" s="70" t="str">
        <x:v>RANGE_ANCHORED_ENGINEERING</x:v>
      </x:c>
      <x:c r="G141" s="54" t="n">
        <x:v>175</x:v>
      </x:c>
      <x:c r="H141" s="54" t="n">
        <x:v>600</x:v>
      </x:c>
      <x:c r="I141" s="74" t="n">
        <x:f>IF(OR(G141="",H141=""),"",G141/1000*H141)</x:f>
        <x:v>105</x:v>
      </x:c>
      <x:c r="J141" s="75" t="n">
        <x:v>2.8</x:v>
      </x:c>
      <x:c r="K141" s="75" t="n">
        <x:v>0.2</x:v>
      </x:c>
      <x:c r="L141" s="75" t="n">
        <x:v>0.025</x:v>
      </x:c>
      <x:c r="M141" s="75" t="n">
        <x:f>IF(OR(J141="",K141=""),"",J141/(2*(1+K141)))</x:f>
        <x:v>1.1666666666666667</x:v>
      </x:c>
      <x:c r="N141" s="76" t="n">
        <x:f>IF(OR(J141="",H141="",K141=""),"",SQRT(J141*1000000000*(1-K141)/(H141*(1+K141)*(1-2*K141))))</x:f>
        <x:v>2277.1001702132444</x:v>
      </x:c>
      <x:c r="O141" s="75" t="n">
        <x:f>IF(OR(H141="",N141=""),"",H141*N141/1000000)</x:f>
        <x:v>1.3662601021279466</x:v>
      </x:c>
      <x:c r="P141" s="74" t="n">
        <x:f>IF(OR(J141="",G141="",K141=""),"",J141*1000000000*(G141/1000)^3/(12*(1-K141^2)))</x:f>
        <x:v>1302625.8680555553</x:v>
      </x:c>
      <x:c r="Q141" s="76" t="n">
        <x:f>IF(OR(I141="",P141=""),"",343.2^2/(2*PI())*SQRT(I141/P141))</x:f>
        <x:v>168.30595806991042</x:v>
      </x:c>
      <x:c r="R141" s="58" t="n">
        <x:v>5.5</x:v>
      </x:c>
      <x:c r="S141" s="62" t="n">
        <x:v>0.145</x:v>
      </x:c>
      <x:c r="T141" s="46" t="str">
        <x:v>20 °C / kuru nominal</x:v>
      </x:c>
      <x:c r="U141" s="46" t="str">
        <x:v>ORTA</x:v>
      </x:c>
      <x:c r="V141" s="46" t="str">
        <x:v>https://storefrontapi.commerce.xella.com/occ/v2/at/catalogs/atContentCatalog/versions/Online/xellamedia/Ytong-BAU-EPD-Porenbetonsteine.pdf</x:v>
      </x:c>
      <x:c r="W141" s="50" t="str">
        <x:v>Xella EPD aralığına oturtulmuş nominal sınıf: ρ=300–650 kg/m³, E≈750–3250 MPa, basınç dayanımı≈2.2–6.5 MPa. Gerçek ürün sınıfı ve nem için doğrulayın.</x:v>
      </x:c>
    </x:row>
    <x:row r="142">
      <x:c r="A142" s="46" t="str">
        <x:v>AAC-D600-T200</x:v>
      </x:c>
      <x:c r="B142" s="46" t="str">
        <x:v>AAC / Gazbeton</x:v>
      </x:c>
      <x:c r="C142" s="46" t="str">
        <x:v>Nominal kuru yoğunluk sınıfı 600 kg/m³</x:v>
      </x:c>
      <x:c r="D142" s="46" t="str">
        <x:v>GENERIC</x:v>
      </x:c>
      <x:c r="E142" s="46" t="str">
        <x:v>AAC D600</x:v>
      </x:c>
      <x:c r="F142" s="70" t="str">
        <x:v>RANGE_ANCHORED_ENGINEERING</x:v>
      </x:c>
      <x:c r="G142" s="54" t="n">
        <x:v>200</x:v>
      </x:c>
      <x:c r="H142" s="54" t="n">
        <x:v>600</x:v>
      </x:c>
      <x:c r="I142" s="74" t="n">
        <x:f>IF(OR(G142="",H142=""),"",G142/1000*H142)</x:f>
        <x:v>120</x:v>
      </x:c>
      <x:c r="J142" s="75" t="n">
        <x:v>2.8</x:v>
      </x:c>
      <x:c r="K142" s="75" t="n">
        <x:v>0.2</x:v>
      </x:c>
      <x:c r="L142" s="75" t="n">
        <x:v>0.025</x:v>
      </x:c>
      <x:c r="M142" s="75" t="n">
        <x:f>IF(OR(J142="",K142=""),"",J142/(2*(1+K142)))</x:f>
        <x:v>1.1666666666666667</x:v>
      </x:c>
      <x:c r="N142" s="76" t="n">
        <x:f>IF(OR(J142="",H142="",K142=""),"",SQRT(J142*1000000000*(1-K142)/(H142*(1+K142)*(1-2*K142))))</x:f>
        <x:v>2277.1001702132444</x:v>
      </x:c>
      <x:c r="O142" s="75" t="n">
        <x:f>IF(OR(H142="",N142=""),"",H142*N142/1000000)</x:f>
        <x:v>1.3662601021279466</x:v>
      </x:c>
      <x:c r="P142" s="74" t="n">
        <x:f>IF(OR(J142="",G142="",K142=""),"",J142*1000000000*(G142/1000)^3/(12*(1-K142^2)))</x:f>
        <x:v>1944444.4444444447</x:v>
      </x:c>
      <x:c r="Q142" s="76" t="n">
        <x:f>IF(OR(I142="",P142=""),"",343.2^2/(2*PI())*SQRT(I142/P142))</x:f>
        <x:v>147.2677133111716</x:v>
      </x:c>
      <x:c r="R142" s="58" t="n">
        <x:v>5.5</x:v>
      </x:c>
      <x:c r="S142" s="62" t="n">
        <x:v>0.145</x:v>
      </x:c>
      <x:c r="T142" s="46" t="str">
        <x:v>20 °C / kuru nominal</x:v>
      </x:c>
      <x:c r="U142" s="46" t="str">
        <x:v>ORTA</x:v>
      </x:c>
      <x:c r="V142" s="46" t="str">
        <x:v>https://storefrontapi.commerce.xella.com/occ/v2/at/catalogs/atContentCatalog/versions/Online/xellamedia/Ytong-BAU-EPD-Porenbetonsteine.pdf</x:v>
      </x:c>
      <x:c r="W142" s="50" t="str">
        <x:v>Xella EPD aralığına oturtulmuş nominal sınıf: ρ=300–650 kg/m³, E≈750–3250 MPa, basınç dayanımı≈2.2–6.5 MPa. Gerçek ürün sınıfı ve nem için doğrulayın.</x:v>
      </x:c>
    </x:row>
    <x:row r="143">
      <x:c r="A143" s="46" t="str">
        <x:v>AAC-D600-T225</x:v>
      </x:c>
      <x:c r="B143" s="46" t="str">
        <x:v>AAC / Gazbeton</x:v>
      </x:c>
      <x:c r="C143" s="46" t="str">
        <x:v>Nominal kuru yoğunluk sınıfı 600 kg/m³</x:v>
      </x:c>
      <x:c r="D143" s="46" t="str">
        <x:v>GENERIC</x:v>
      </x:c>
      <x:c r="E143" s="46" t="str">
        <x:v>AAC D600</x:v>
      </x:c>
      <x:c r="F143" s="70" t="str">
        <x:v>RANGE_ANCHORED_ENGINEERING</x:v>
      </x:c>
      <x:c r="G143" s="54" t="n">
        <x:v>225</x:v>
      </x:c>
      <x:c r="H143" s="54" t="n">
        <x:v>600</x:v>
      </x:c>
      <x:c r="I143" s="74" t="n">
        <x:f>IF(OR(G143="",H143=""),"",G143/1000*H143)</x:f>
        <x:v>135</x:v>
      </x:c>
      <x:c r="J143" s="75" t="n">
        <x:v>2.8</x:v>
      </x:c>
      <x:c r="K143" s="75" t="n">
        <x:v>0.2</x:v>
      </x:c>
      <x:c r="L143" s="75" t="n">
        <x:v>0.025</x:v>
      </x:c>
      <x:c r="M143" s="75" t="n">
        <x:f>IF(OR(J143="",K143=""),"",J143/(2*(1+K143)))</x:f>
        <x:v>1.1666666666666667</x:v>
      </x:c>
      <x:c r="N143" s="76" t="n">
        <x:f>IF(OR(J143="",H143="",K143=""),"",SQRT(J143*1000000000*(1-K143)/(H143*(1+K143)*(1-2*K143))))</x:f>
        <x:v>2277.1001702132444</x:v>
      </x:c>
      <x:c r="O143" s="75" t="n">
        <x:f>IF(OR(H143="",N143=""),"",H143*N143/1000000)</x:f>
        <x:v>1.3662601021279466</x:v>
      </x:c>
      <x:c r="P143" s="74" t="n">
        <x:f>IF(OR(J143="",G143="",K143=""),"",J143*1000000000*(G143/1000)^3/(12*(1-K143^2)))</x:f>
        <x:v>2768554.6875000005</x:v>
      </x:c>
      <x:c r="Q143" s="76" t="n">
        <x:f>IF(OR(I143="",P143=""),"",343.2^2/(2*PI())*SQRT(I143/P143))</x:f>
        <x:v>130.90463405437475</x:v>
      </x:c>
      <x:c r="R143" s="58" t="n">
        <x:v>5.5</x:v>
      </x:c>
      <x:c r="S143" s="62" t="n">
        <x:v>0.145</x:v>
      </x:c>
      <x:c r="T143" s="46" t="str">
        <x:v>20 °C / kuru nominal</x:v>
      </x:c>
      <x:c r="U143" s="46" t="str">
        <x:v>ORTA</x:v>
      </x:c>
      <x:c r="V143" s="46" t="str">
        <x:v>https://storefrontapi.commerce.xella.com/occ/v2/at/catalogs/atContentCatalog/versions/Online/xellamedia/Ytong-BAU-EPD-Porenbetonsteine.pdf</x:v>
      </x:c>
      <x:c r="W143" s="50" t="str">
        <x:v>Xella EPD aralığına oturtulmuş nominal sınıf: ρ=300–650 kg/m³, E≈750–3250 MPa, basınç dayanımı≈2.2–6.5 MPa. Gerçek ürün sınıfı ve nem için doğrulayın.</x:v>
      </x:c>
    </x:row>
    <x:row r="144">
      <x:c r="A144" s="46" t="str">
        <x:v>AAC-D600-T250</x:v>
      </x:c>
      <x:c r="B144" s="46" t="str">
        <x:v>AAC / Gazbeton</x:v>
      </x:c>
      <x:c r="C144" s="46" t="str">
        <x:v>Nominal kuru yoğunluk sınıfı 600 kg/m³</x:v>
      </x:c>
      <x:c r="D144" s="46" t="str">
        <x:v>GENERIC</x:v>
      </x:c>
      <x:c r="E144" s="46" t="str">
        <x:v>AAC D600</x:v>
      </x:c>
      <x:c r="F144" s="70" t="str">
        <x:v>RANGE_ANCHORED_ENGINEERING</x:v>
      </x:c>
      <x:c r="G144" s="54" t="n">
        <x:v>250</x:v>
      </x:c>
      <x:c r="H144" s="54" t="n">
        <x:v>600</x:v>
      </x:c>
      <x:c r="I144" s="74" t="n">
        <x:f>IF(OR(G144="",H144=""),"",G144/1000*H144)</x:f>
        <x:v>150</x:v>
      </x:c>
      <x:c r="J144" s="75" t="n">
        <x:v>2.8</x:v>
      </x:c>
      <x:c r="K144" s="75" t="n">
        <x:v>0.2</x:v>
      </x:c>
      <x:c r="L144" s="75" t="n">
        <x:v>0.025</x:v>
      </x:c>
      <x:c r="M144" s="75" t="n">
        <x:f>IF(OR(J144="",K144=""),"",J144/(2*(1+K144)))</x:f>
        <x:v>1.1666666666666667</x:v>
      </x:c>
      <x:c r="N144" s="76" t="n">
        <x:f>IF(OR(J144="",H144="",K144=""),"",SQRT(J144*1000000000*(1-K144)/(H144*(1+K144)*(1-2*K144))))</x:f>
        <x:v>2277.1001702132444</x:v>
      </x:c>
      <x:c r="O144" s="75" t="n">
        <x:f>IF(OR(H144="",N144=""),"",H144*N144/1000000)</x:f>
        <x:v>1.3662601021279466</x:v>
      </x:c>
      <x:c r="P144" s="74" t="n">
        <x:f>IF(OR(J144="",G144="",K144=""),"",J144*1000000000*(G144/1000)^3/(12*(1-K144^2)))</x:f>
        <x:v>3797743.0555555555</x:v>
      </x:c>
      <x:c r="Q144" s="76" t="n">
        <x:f>IF(OR(I144="",P144=""),"",343.2^2/(2*PI())*SQRT(I144/P144))</x:f>
        <x:v>117.81417064893729</x:v>
      </x:c>
      <x:c r="R144" s="58" t="n">
        <x:v>5.5</x:v>
      </x:c>
      <x:c r="S144" s="62" t="n">
        <x:v>0.145</x:v>
      </x:c>
      <x:c r="T144" s="46" t="str">
        <x:v>20 °C / kuru nominal</x:v>
      </x:c>
      <x:c r="U144" s="46" t="str">
        <x:v>ORTA</x:v>
      </x:c>
      <x:c r="V144" s="46" t="str">
        <x:v>https://storefrontapi.commerce.xella.com/occ/v2/at/catalogs/atContentCatalog/versions/Online/xellamedia/Ytong-BAU-EPD-Porenbetonsteine.pdf</x:v>
      </x:c>
      <x:c r="W144" s="50" t="str">
        <x:v>Xella EPD aralığına oturtulmuş nominal sınıf: ρ=300–650 kg/m³, E≈750–3250 MPa, basınç dayanımı≈2.2–6.5 MPa. Gerçek ürün sınıfı ve nem için doğrulayın.</x:v>
      </x:c>
    </x:row>
    <x:row r="145">
      <x:c r="A145" s="46" t="str">
        <x:v>AAC-D600-T300</x:v>
      </x:c>
      <x:c r="B145" s="46" t="str">
        <x:v>AAC / Gazbeton</x:v>
      </x:c>
      <x:c r="C145" s="46" t="str">
        <x:v>Nominal kuru yoğunluk sınıfı 600 kg/m³</x:v>
      </x:c>
      <x:c r="D145" s="46" t="str">
        <x:v>GENERIC</x:v>
      </x:c>
      <x:c r="E145" s="46" t="str">
        <x:v>AAC D600</x:v>
      </x:c>
      <x:c r="F145" s="70" t="str">
        <x:v>RANGE_ANCHORED_ENGINEERING</x:v>
      </x:c>
      <x:c r="G145" s="54" t="n">
        <x:v>300</x:v>
      </x:c>
      <x:c r="H145" s="54" t="n">
        <x:v>600</x:v>
      </x:c>
      <x:c r="I145" s="74" t="n">
        <x:f>IF(OR(G145="",H145=""),"",G145/1000*H145)</x:f>
        <x:v>180</x:v>
      </x:c>
      <x:c r="J145" s="75" t="n">
        <x:v>2.8</x:v>
      </x:c>
      <x:c r="K145" s="75" t="n">
        <x:v>0.2</x:v>
      </x:c>
      <x:c r="L145" s="75" t="n">
        <x:v>0.025</x:v>
      </x:c>
      <x:c r="M145" s="75" t="n">
        <x:f>IF(OR(J145="",K145=""),"",J145/(2*(1+K145)))</x:f>
        <x:v>1.1666666666666667</x:v>
      </x:c>
      <x:c r="N145" s="76" t="n">
        <x:f>IF(OR(J145="",H145="",K145=""),"",SQRT(J145*1000000000*(1-K145)/(H145*(1+K145)*(1-2*K145))))</x:f>
        <x:v>2277.1001702132444</x:v>
      </x:c>
      <x:c r="O145" s="75" t="n">
        <x:f>IF(OR(H145="",N145=""),"",H145*N145/1000000)</x:f>
        <x:v>1.3662601021279466</x:v>
      </x:c>
      <x:c r="P145" s="74" t="n">
        <x:f>IF(OR(J145="",G145="",K145=""),"",J145*1000000000*(G145/1000)^3/(12*(1-K145^2)))</x:f>
        <x:v>6562500</x:v>
      </x:c>
      <x:c r="Q145" s="76" t="n">
        <x:f>IF(OR(I145="",P145=""),"",343.2^2/(2*PI())*SQRT(I145/P145))</x:f>
        <x:v>98.17847554078108</x:v>
      </x:c>
      <x:c r="R145" s="58" t="n">
        <x:v>5.5</x:v>
      </x:c>
      <x:c r="S145" s="62" t="n">
        <x:v>0.145</x:v>
      </x:c>
      <x:c r="T145" s="46" t="str">
        <x:v>20 °C / kuru nominal</x:v>
      </x:c>
      <x:c r="U145" s="46" t="str">
        <x:v>ORTA</x:v>
      </x:c>
      <x:c r="V145" s="46" t="str">
        <x:v>https://storefrontapi.commerce.xella.com/occ/v2/at/catalogs/atContentCatalog/versions/Online/xellamedia/Ytong-BAU-EPD-Porenbetonsteine.pdf</x:v>
      </x:c>
      <x:c r="W145" s="50" t="str">
        <x:v>Xella EPD aralığına oturtulmuş nominal sınıf: ρ=300–650 kg/m³, E≈750–3250 MPa, basınç dayanımı≈2.2–6.5 MPa. Gerçek ürün sınıfı ve nem için doğrulayın.</x:v>
      </x:c>
    </x:row>
    <x:row r="146">
      <x:c r="A146" s="46" t="str">
        <x:v>AAC-D600-T375</x:v>
      </x:c>
      <x:c r="B146" s="46" t="str">
        <x:v>AAC / Gazbeton</x:v>
      </x:c>
      <x:c r="C146" s="46" t="str">
        <x:v>Nominal kuru yoğunluk sınıfı 600 kg/m³</x:v>
      </x:c>
      <x:c r="D146" s="46" t="str">
        <x:v>GENERIC</x:v>
      </x:c>
      <x:c r="E146" s="46" t="str">
        <x:v>AAC D600</x:v>
      </x:c>
      <x:c r="F146" s="70" t="str">
        <x:v>RANGE_ANCHORED_ENGINEERING</x:v>
      </x:c>
      <x:c r="G146" s="54" t="n">
        <x:v>375</x:v>
      </x:c>
      <x:c r="H146" s="54" t="n">
        <x:v>600</x:v>
      </x:c>
      <x:c r="I146" s="74" t="n">
        <x:f>IF(OR(G146="",H146=""),"",G146/1000*H146)</x:f>
        <x:v>225</x:v>
      </x:c>
      <x:c r="J146" s="75" t="n">
        <x:v>2.8</x:v>
      </x:c>
      <x:c r="K146" s="75" t="n">
        <x:v>0.2</x:v>
      </x:c>
      <x:c r="L146" s="75" t="n">
        <x:v>0.025</x:v>
      </x:c>
      <x:c r="M146" s="75" t="n">
        <x:f>IF(OR(J146="",K146=""),"",J146/(2*(1+K146)))</x:f>
        <x:v>1.1666666666666667</x:v>
      </x:c>
      <x:c r="N146" s="76" t="n">
        <x:f>IF(OR(J146="",H146="",K146=""),"",SQRT(J146*1000000000*(1-K146)/(H146*(1+K146)*(1-2*K146))))</x:f>
        <x:v>2277.1001702132444</x:v>
      </x:c>
      <x:c r="O146" s="75" t="n">
        <x:f>IF(OR(H146="",N146=""),"",H146*N146/1000000)</x:f>
        <x:v>1.3662601021279466</x:v>
      </x:c>
      <x:c r="P146" s="74" t="n">
        <x:f>IF(OR(J146="",G146="",K146=""),"",J146*1000000000*(G146/1000)^3/(12*(1-K146^2)))</x:f>
        <x:v>12817382.8125</x:v>
      </x:c>
      <x:c r="Q146" s="76" t="n">
        <x:f>IF(OR(I146="",P146=""),"",343.2^2/(2*PI())*SQRT(I146/P146))</x:f>
        <x:v>78.54278043262487</x:v>
      </x:c>
      <x:c r="R146" s="58" t="n">
        <x:v>5.5</x:v>
      </x:c>
      <x:c r="S146" s="62" t="n">
        <x:v>0.145</x:v>
      </x:c>
      <x:c r="T146" s="46" t="str">
        <x:v>20 °C / kuru nominal</x:v>
      </x:c>
      <x:c r="U146" s="46" t="str">
        <x:v>ORTA</x:v>
      </x:c>
      <x:c r="V146" s="46" t="str">
        <x:v>https://storefrontapi.commerce.xella.com/occ/v2/at/catalogs/atContentCatalog/versions/Online/xellamedia/Ytong-BAU-EPD-Porenbetonsteine.pdf</x:v>
      </x:c>
      <x:c r="W146" s="50" t="str">
        <x:v>Xella EPD aralığına oturtulmuş nominal sınıf: ρ=300–650 kg/m³, E≈750–3250 MPa, basınç dayanımı≈2.2–6.5 MPa. Gerçek ürün sınıfı ve nem için doğrulayın.</x:v>
      </x:c>
    </x:row>
    <x:row r="147">
      <x:c r="A147" s="46" t="str">
        <x:v>AAC-D600-T450</x:v>
      </x:c>
      <x:c r="B147" s="46" t="str">
        <x:v>AAC / Gazbeton</x:v>
      </x:c>
      <x:c r="C147" s="46" t="str">
        <x:v>Nominal kuru yoğunluk sınıfı 600 kg/m³</x:v>
      </x:c>
      <x:c r="D147" s="46" t="str">
        <x:v>GENERIC</x:v>
      </x:c>
      <x:c r="E147" s="46" t="str">
        <x:v>AAC D600</x:v>
      </x:c>
      <x:c r="F147" s="70" t="str">
        <x:v>RANGE_ANCHORED_ENGINEERING</x:v>
      </x:c>
      <x:c r="G147" s="54" t="n">
        <x:v>450</x:v>
      </x:c>
      <x:c r="H147" s="54" t="n">
        <x:v>600</x:v>
      </x:c>
      <x:c r="I147" s="74" t="n">
        <x:f>IF(OR(G147="",H147=""),"",G147/1000*H147)</x:f>
        <x:v>270</x:v>
      </x:c>
      <x:c r="J147" s="75" t="n">
        <x:v>2.8</x:v>
      </x:c>
      <x:c r="K147" s="75" t="n">
        <x:v>0.2</x:v>
      </x:c>
      <x:c r="L147" s="75" t="n">
        <x:v>0.025</x:v>
      </x:c>
      <x:c r="M147" s="75" t="n">
        <x:f>IF(OR(J147="",K147=""),"",J147/(2*(1+K147)))</x:f>
        <x:v>1.1666666666666667</x:v>
      </x:c>
      <x:c r="N147" s="76" t="n">
        <x:f>IF(OR(J147="",H147="",K147=""),"",SQRT(J147*1000000000*(1-K147)/(H147*(1+K147)*(1-2*K147))))</x:f>
        <x:v>2277.1001702132444</x:v>
      </x:c>
      <x:c r="O147" s="75" t="n">
        <x:f>IF(OR(H147="",N147=""),"",H147*N147/1000000)</x:f>
        <x:v>1.3662601021279466</x:v>
      </x:c>
      <x:c r="P147" s="74" t="n">
        <x:f>IF(OR(J147="",G147="",K147=""),"",J147*1000000000*(G147/1000)^3/(12*(1-K147^2)))</x:f>
        <x:v>22148437.500000004</x:v>
      </x:c>
      <x:c r="Q147" s="76" t="n">
        <x:f>IF(OR(I147="",P147=""),"",343.2^2/(2*PI())*SQRT(I147/P147))</x:f>
        <x:v>65.45231702718738</x:v>
      </x:c>
      <x:c r="R147" s="58" t="n">
        <x:v>5.5</x:v>
      </x:c>
      <x:c r="S147" s="62" t="n">
        <x:v>0.145</x:v>
      </x:c>
      <x:c r="T147" s="46" t="str">
        <x:v>20 °C / kuru nominal</x:v>
      </x:c>
      <x:c r="U147" s="46" t="str">
        <x:v>ORTA</x:v>
      </x:c>
      <x:c r="V147" s="46" t="str">
        <x:v>https://storefrontapi.commerce.xella.com/occ/v2/at/catalogs/atContentCatalog/versions/Online/xellamedia/Ytong-BAU-EPD-Porenbetonsteine.pdf</x:v>
      </x:c>
      <x:c r="W147" s="50" t="str">
        <x:v>Xella EPD aralığına oturtulmuş nominal sınıf: ρ=300–650 kg/m³, E≈750–3250 MPa, basınç dayanımı≈2.2–6.5 MPa. Gerçek ürün sınıfı ve nem için doğrulayın.</x:v>
      </x:c>
    </x:row>
    <x:row r="148">
      <x:c r="A148" s="46" t="str">
        <x:v>AAC-D600-T500</x:v>
      </x:c>
      <x:c r="B148" s="46" t="str">
        <x:v>AAC / Gazbeton</x:v>
      </x:c>
      <x:c r="C148" s="46" t="str">
        <x:v>Nominal kuru yoğunluk sınıfı 600 kg/m³</x:v>
      </x:c>
      <x:c r="D148" s="46" t="str">
        <x:v>GENERIC</x:v>
      </x:c>
      <x:c r="E148" s="46" t="str">
        <x:v>AAC D600</x:v>
      </x:c>
      <x:c r="F148" s="70" t="str">
        <x:v>RANGE_ANCHORED_ENGINEERING</x:v>
      </x:c>
      <x:c r="G148" s="54" t="n">
        <x:v>500</x:v>
      </x:c>
      <x:c r="H148" s="54" t="n">
        <x:v>600</x:v>
      </x:c>
      <x:c r="I148" s="74" t="n">
        <x:f>IF(OR(G148="",H148=""),"",G148/1000*H148)</x:f>
        <x:v>300</x:v>
      </x:c>
      <x:c r="J148" s="75" t="n">
        <x:v>2.8</x:v>
      </x:c>
      <x:c r="K148" s="75" t="n">
        <x:v>0.2</x:v>
      </x:c>
      <x:c r="L148" s="75" t="n">
        <x:v>0.025</x:v>
      </x:c>
      <x:c r="M148" s="75" t="n">
        <x:f>IF(OR(J148="",K148=""),"",J148/(2*(1+K148)))</x:f>
        <x:v>1.1666666666666667</x:v>
      </x:c>
      <x:c r="N148" s="76" t="n">
        <x:f>IF(OR(J148="",H148="",K148=""),"",SQRT(J148*1000000000*(1-K148)/(H148*(1+K148)*(1-2*K148))))</x:f>
        <x:v>2277.1001702132444</x:v>
      </x:c>
      <x:c r="O148" s="75" t="n">
        <x:f>IF(OR(H148="",N148=""),"",H148*N148/1000000)</x:f>
        <x:v>1.3662601021279466</x:v>
      </x:c>
      <x:c r="P148" s="74" t="n">
        <x:f>IF(OR(J148="",G148="",K148=""),"",J148*1000000000*(G148/1000)^3/(12*(1-K148^2)))</x:f>
        <x:v>30381944.444444444</x:v>
      </x:c>
      <x:c r="Q148" s="76" t="n">
        <x:f>IF(OR(I148="",P148=""),"",343.2^2/(2*PI())*SQRT(I148/P148))</x:f>
        <x:v>58.907085324468646</x:v>
      </x:c>
      <x:c r="R148" s="58" t="n">
        <x:v>5.5</x:v>
      </x:c>
      <x:c r="S148" s="62" t="n">
        <x:v>0.145</x:v>
      </x:c>
      <x:c r="T148" s="46" t="str">
        <x:v>20 °C / kuru nominal</x:v>
      </x:c>
      <x:c r="U148" s="46" t="str">
        <x:v>ORTA</x:v>
      </x:c>
      <x:c r="V148" s="46" t="str">
        <x:v>https://storefrontapi.commerce.xella.com/occ/v2/at/catalogs/atContentCatalog/versions/Online/xellamedia/Ytong-BAU-EPD-Porenbetonsteine.pdf</x:v>
      </x:c>
      <x:c r="W148" s="50" t="str">
        <x:v>Xella EPD aralığına oturtulmuş nominal sınıf: ρ=300–650 kg/m³, E≈750–3250 MPa, basınç dayanımı≈2.2–6.5 MPa. Gerçek ürün sınıfı ve nem için doğrulayın.</x:v>
      </x:c>
    </x:row>
    <x:row r="149">
      <x:c r="A149" s="46" t="str">
        <x:v>AAC-D650-T50</x:v>
      </x:c>
      <x:c r="B149" s="46" t="str">
        <x:v>AAC / Gazbeton</x:v>
      </x:c>
      <x:c r="C149" s="46" t="str">
        <x:v>Nominal kuru yoğunluk sınıfı 650 kg/m³</x:v>
      </x:c>
      <x:c r="D149" s="46" t="str">
        <x:v>GENERIC</x:v>
      </x:c>
      <x:c r="E149" s="46" t="str">
        <x:v>AAC D650</x:v>
      </x:c>
      <x:c r="F149" s="70" t="str">
        <x:v>RANGE_ANCHORED_ENGINEERING</x:v>
      </x:c>
      <x:c r="G149" s="54" t="n">
        <x:v>50</x:v>
      </x:c>
      <x:c r="H149" s="54" t="n">
        <x:v>650</x:v>
      </x:c>
      <x:c r="I149" s="74" t="n">
        <x:f>IF(OR(G149="",H149=""),"",G149/1000*H149)</x:f>
        <x:v>32.5</x:v>
      </x:c>
      <x:c r="J149" s="75" t="n">
        <x:v>3.25</x:v>
      </x:c>
      <x:c r="K149" s="75" t="n">
        <x:v>0.2</x:v>
      </x:c>
      <x:c r="L149" s="75" t="n">
        <x:v>0.025</x:v>
      </x:c>
      <x:c r="M149" s="75" t="n">
        <x:f>IF(OR(J149="",K149=""),"",J149/(2*(1+K149)))</x:f>
        <x:v>1.3541666666666667</x:v>
      </x:c>
      <x:c r="N149" s="76" t="n">
        <x:f>IF(OR(J149="",H149="",K149=""),"",SQRT(J149*1000000000*(1-K149)/(H149*(1+K149)*(1-2*K149))))</x:f>
        <x:v>2357.0226039551585</x:v>
      </x:c>
      <x:c r="O149" s="75" t="n">
        <x:f>IF(OR(H149="",N149=""),"",H149*N149/1000000)</x:f>
        <x:v>1.532064692570853</x:v>
      </x:c>
      <x:c r="P149" s="74" t="n">
        <x:f>IF(OR(J149="",G149="",K149=""),"",J149*1000000000*(G149/1000)^3/(12*(1-K149^2)))</x:f>
        <x:v>35264.75694444445</x:v>
      </x:c>
      <x:c r="Q149" s="76" t="n">
        <x:f>IF(OR(I149="",P149=""),"",343.2^2/(2*PI())*SQRT(I149/P149))</x:f>
        <x:v>569.0965109712014</x:v>
      </x:c>
      <x:c r="R149" s="58" t="n">
        <x:v>6.5</x:v>
      </x:c>
      <x:c r="S149" s="62" t="n">
        <x:v>0.16</x:v>
      </x:c>
      <x:c r="T149" s="46" t="str">
        <x:v>20 °C / kuru nominal</x:v>
      </x:c>
      <x:c r="U149" s="46" t="str">
        <x:v>ORTA</x:v>
      </x:c>
      <x:c r="V149" s="46" t="str">
        <x:v>https://storefrontapi.commerce.xella.com/occ/v2/at/catalogs/atContentCatalog/versions/Online/xellamedia/Ytong-BAU-EPD-Porenbetonsteine.pdf</x:v>
      </x:c>
      <x:c r="W149" s="50" t="str">
        <x:v>Xella EPD aralığına oturtulmuş nominal sınıf: ρ=300–650 kg/m³, E≈750–3250 MPa, basınç dayanımı≈2.2–6.5 MPa. Gerçek ürün sınıfı ve nem için doğrulayın.</x:v>
      </x:c>
    </x:row>
    <x:row r="150">
      <x:c r="A150" s="46" t="str">
        <x:v>AAC-D650-T75</x:v>
      </x:c>
      <x:c r="B150" s="46" t="str">
        <x:v>AAC / Gazbeton</x:v>
      </x:c>
      <x:c r="C150" s="46" t="str">
        <x:v>Nominal kuru yoğunluk sınıfı 650 kg/m³</x:v>
      </x:c>
      <x:c r="D150" s="46" t="str">
        <x:v>GENERIC</x:v>
      </x:c>
      <x:c r="E150" s="46" t="str">
        <x:v>AAC D650</x:v>
      </x:c>
      <x:c r="F150" s="70" t="str">
        <x:v>RANGE_ANCHORED_ENGINEERING</x:v>
      </x:c>
      <x:c r="G150" s="54" t="n">
        <x:v>75</x:v>
      </x:c>
      <x:c r="H150" s="54" t="n">
        <x:v>650</x:v>
      </x:c>
      <x:c r="I150" s="74" t="n">
        <x:f>IF(OR(G150="",H150=""),"",G150/1000*H150)</x:f>
        <x:v>48.75</x:v>
      </x:c>
      <x:c r="J150" s="75" t="n">
        <x:v>3.25</x:v>
      </x:c>
      <x:c r="K150" s="75" t="n">
        <x:v>0.2</x:v>
      </x:c>
      <x:c r="L150" s="75" t="n">
        <x:v>0.025</x:v>
      </x:c>
      <x:c r="M150" s="75" t="n">
        <x:f>IF(OR(J150="",K150=""),"",J150/(2*(1+K150)))</x:f>
        <x:v>1.3541666666666667</x:v>
      </x:c>
      <x:c r="N150" s="76" t="n">
        <x:f>IF(OR(J150="",H150="",K150=""),"",SQRT(J150*1000000000*(1-K150)/(H150*(1+K150)*(1-2*K150))))</x:f>
        <x:v>2357.0226039551585</x:v>
      </x:c>
      <x:c r="O150" s="75" t="n">
        <x:f>IF(OR(H150="",N150=""),"",H150*N150/1000000)</x:f>
        <x:v>1.532064692570853</x:v>
      </x:c>
      <x:c r="P150" s="74" t="n">
        <x:f>IF(OR(J150="",G150="",K150=""),"",J150*1000000000*(G150/1000)^3/(12*(1-K150^2)))</x:f>
        <x:v>119018.5546875</x:v>
      </x:c>
      <x:c r="Q150" s="76" t="n">
        <x:f>IF(OR(I150="",P150=""),"",343.2^2/(2*PI())*SQRT(I150/P150))</x:f>
        <x:v>379.39767398080096</x:v>
      </x:c>
      <x:c r="R150" s="58" t="n">
        <x:v>6.5</x:v>
      </x:c>
      <x:c r="S150" s="62" t="n">
        <x:v>0.16</x:v>
      </x:c>
      <x:c r="T150" s="46" t="str">
        <x:v>20 °C / kuru nominal</x:v>
      </x:c>
      <x:c r="U150" s="46" t="str">
        <x:v>ORTA</x:v>
      </x:c>
      <x:c r="V150" s="46" t="str">
        <x:v>https://storefrontapi.commerce.xella.com/occ/v2/at/catalogs/atContentCatalog/versions/Online/xellamedia/Ytong-BAU-EPD-Porenbetonsteine.pdf</x:v>
      </x:c>
      <x:c r="W150" s="50" t="str">
        <x:v>Xella EPD aralığına oturtulmuş nominal sınıf: ρ=300–650 kg/m³, E≈750–3250 MPa, basınç dayanımı≈2.2–6.5 MPa. Gerçek ürün sınıfı ve nem için doğrulayın.</x:v>
      </x:c>
    </x:row>
    <x:row r="151">
      <x:c r="A151" s="46" t="str">
        <x:v>AAC-D650-T100</x:v>
      </x:c>
      <x:c r="B151" s="46" t="str">
        <x:v>AAC / Gazbeton</x:v>
      </x:c>
      <x:c r="C151" s="46" t="str">
        <x:v>Nominal kuru yoğunluk sınıfı 650 kg/m³</x:v>
      </x:c>
      <x:c r="D151" s="46" t="str">
        <x:v>GENERIC</x:v>
      </x:c>
      <x:c r="E151" s="46" t="str">
        <x:v>AAC D650</x:v>
      </x:c>
      <x:c r="F151" s="70" t="str">
        <x:v>RANGE_ANCHORED_ENGINEERING</x:v>
      </x:c>
      <x:c r="G151" s="54" t="n">
        <x:v>100</x:v>
      </x:c>
      <x:c r="H151" s="54" t="n">
        <x:v>650</x:v>
      </x:c>
      <x:c r="I151" s="74" t="n">
        <x:f>IF(OR(G151="",H151=""),"",G151/1000*H151)</x:f>
        <x:v>65</x:v>
      </x:c>
      <x:c r="J151" s="75" t="n">
        <x:v>3.25</x:v>
      </x:c>
      <x:c r="K151" s="75" t="n">
        <x:v>0.2</x:v>
      </x:c>
      <x:c r="L151" s="75" t="n">
        <x:v>0.025</x:v>
      </x:c>
      <x:c r="M151" s="75" t="n">
        <x:f>IF(OR(J151="",K151=""),"",J151/(2*(1+K151)))</x:f>
        <x:v>1.3541666666666667</x:v>
      </x:c>
      <x:c r="N151" s="76" t="n">
        <x:f>IF(OR(J151="",H151="",K151=""),"",SQRT(J151*1000000000*(1-K151)/(H151*(1+K151)*(1-2*K151))))</x:f>
        <x:v>2357.0226039551585</x:v>
      </x:c>
      <x:c r="O151" s="75" t="n">
        <x:f>IF(OR(H151="",N151=""),"",H151*N151/1000000)</x:f>
        <x:v>1.532064692570853</x:v>
      </x:c>
      <x:c r="P151" s="74" t="n">
        <x:f>IF(OR(J151="",G151="",K151=""),"",J151*1000000000*(G151/1000)^3/(12*(1-K151^2)))</x:f>
        <x:v>282118.0555555556</x:v>
      </x:c>
      <x:c r="Q151" s="76" t="n">
        <x:f>IF(OR(I151="",P151=""),"",343.2^2/(2*PI())*SQRT(I151/P151))</x:f>
        <x:v>284.5482554856007</x:v>
      </x:c>
      <x:c r="R151" s="58" t="n">
        <x:v>6.5</x:v>
      </x:c>
      <x:c r="S151" s="62" t="n">
        <x:v>0.16</x:v>
      </x:c>
      <x:c r="T151" s="46" t="str">
        <x:v>20 °C / kuru nominal</x:v>
      </x:c>
      <x:c r="U151" s="46" t="str">
        <x:v>ORTA</x:v>
      </x:c>
      <x:c r="V151" s="46" t="str">
        <x:v>https://storefrontapi.commerce.xella.com/occ/v2/at/catalogs/atContentCatalog/versions/Online/xellamedia/Ytong-BAU-EPD-Porenbetonsteine.pdf</x:v>
      </x:c>
      <x:c r="W151" s="50" t="str">
        <x:v>Xella EPD aralığına oturtulmuş nominal sınıf: ρ=300–650 kg/m³, E≈750–3250 MPa, basınç dayanımı≈2.2–6.5 MPa. Gerçek ürün sınıfı ve nem için doğrulayın.</x:v>
      </x:c>
    </x:row>
    <x:row r="152">
      <x:c r="A152" s="46" t="str">
        <x:v>AAC-D650-T125</x:v>
      </x:c>
      <x:c r="B152" s="46" t="str">
        <x:v>AAC / Gazbeton</x:v>
      </x:c>
      <x:c r="C152" s="46" t="str">
        <x:v>Nominal kuru yoğunluk sınıfı 650 kg/m³</x:v>
      </x:c>
      <x:c r="D152" s="46" t="str">
        <x:v>GENERIC</x:v>
      </x:c>
      <x:c r="E152" s="46" t="str">
        <x:v>AAC D650</x:v>
      </x:c>
      <x:c r="F152" s="70" t="str">
        <x:v>RANGE_ANCHORED_ENGINEERING</x:v>
      </x:c>
      <x:c r="G152" s="54" t="n">
        <x:v>125</x:v>
      </x:c>
      <x:c r="H152" s="54" t="n">
        <x:v>650</x:v>
      </x:c>
      <x:c r="I152" s="74" t="n">
        <x:f>IF(OR(G152="",H152=""),"",G152/1000*H152)</x:f>
        <x:v>81.25</x:v>
      </x:c>
      <x:c r="J152" s="75" t="n">
        <x:v>3.25</x:v>
      </x:c>
      <x:c r="K152" s="75" t="n">
        <x:v>0.2</x:v>
      </x:c>
      <x:c r="L152" s="75" t="n">
        <x:v>0.025</x:v>
      </x:c>
      <x:c r="M152" s="75" t="n">
        <x:f>IF(OR(J152="",K152=""),"",J152/(2*(1+K152)))</x:f>
        <x:v>1.3541666666666667</x:v>
      </x:c>
      <x:c r="N152" s="76" t="n">
        <x:f>IF(OR(J152="",H152="",K152=""),"",SQRT(J152*1000000000*(1-K152)/(H152*(1+K152)*(1-2*K152))))</x:f>
        <x:v>2357.0226039551585</x:v>
      </x:c>
      <x:c r="O152" s="75" t="n">
        <x:f>IF(OR(H152="",N152=""),"",H152*N152/1000000)</x:f>
        <x:v>1.532064692570853</x:v>
      </x:c>
      <x:c r="P152" s="74" t="n">
        <x:f>IF(OR(J152="",G152="",K152=""),"",J152*1000000000*(G152/1000)^3/(12*(1-K152^2)))</x:f>
        <x:v>551011.8272569445</x:v>
      </x:c>
      <x:c r="Q152" s="76" t="n">
        <x:f>IF(OR(I152="",P152=""),"",343.2^2/(2*PI())*SQRT(I152/P152))</x:f>
        <x:v>227.63860438848056</x:v>
      </x:c>
      <x:c r="R152" s="58" t="n">
        <x:v>6.5</x:v>
      </x:c>
      <x:c r="S152" s="62" t="n">
        <x:v>0.16</x:v>
      </x:c>
      <x:c r="T152" s="46" t="str">
        <x:v>20 °C / kuru nominal</x:v>
      </x:c>
      <x:c r="U152" s="46" t="str">
        <x:v>ORTA</x:v>
      </x:c>
      <x:c r="V152" s="46" t="str">
        <x:v>https://storefrontapi.commerce.xella.com/occ/v2/at/catalogs/atContentCatalog/versions/Online/xellamedia/Ytong-BAU-EPD-Porenbetonsteine.pdf</x:v>
      </x:c>
      <x:c r="W152" s="50" t="str">
        <x:v>Xella EPD aralığına oturtulmuş nominal sınıf: ρ=300–650 kg/m³, E≈750–3250 MPa, basınç dayanımı≈2.2–6.5 MPa. Gerçek ürün sınıfı ve nem için doğrulayın.</x:v>
      </x:c>
    </x:row>
    <x:row r="153">
      <x:c r="A153" s="46" t="str">
        <x:v>AAC-D650-T150</x:v>
      </x:c>
      <x:c r="B153" s="46" t="str">
        <x:v>AAC / Gazbeton</x:v>
      </x:c>
      <x:c r="C153" s="46" t="str">
        <x:v>Nominal kuru yoğunluk sınıfı 650 kg/m³</x:v>
      </x:c>
      <x:c r="D153" s="46" t="str">
        <x:v>GENERIC</x:v>
      </x:c>
      <x:c r="E153" s="46" t="str">
        <x:v>AAC D650</x:v>
      </x:c>
      <x:c r="F153" s="70" t="str">
        <x:v>RANGE_ANCHORED_ENGINEERING</x:v>
      </x:c>
      <x:c r="G153" s="54" t="n">
        <x:v>150</x:v>
      </x:c>
      <x:c r="H153" s="54" t="n">
        <x:v>650</x:v>
      </x:c>
      <x:c r="I153" s="74" t="n">
        <x:f>IF(OR(G153="",H153=""),"",G153/1000*H153)</x:f>
        <x:v>97.5</x:v>
      </x:c>
      <x:c r="J153" s="75" t="n">
        <x:v>3.25</x:v>
      </x:c>
      <x:c r="K153" s="75" t="n">
        <x:v>0.2</x:v>
      </x:c>
      <x:c r="L153" s="75" t="n">
        <x:v>0.025</x:v>
      </x:c>
      <x:c r="M153" s="75" t="n">
        <x:f>IF(OR(J153="",K153=""),"",J153/(2*(1+K153)))</x:f>
        <x:v>1.3541666666666667</x:v>
      </x:c>
      <x:c r="N153" s="76" t="n">
        <x:f>IF(OR(J153="",H153="",K153=""),"",SQRT(J153*1000000000*(1-K153)/(H153*(1+K153)*(1-2*K153))))</x:f>
        <x:v>2357.0226039551585</x:v>
      </x:c>
      <x:c r="O153" s="75" t="n">
        <x:f>IF(OR(H153="",N153=""),"",H153*N153/1000000)</x:f>
        <x:v>1.532064692570853</x:v>
      </x:c>
      <x:c r="P153" s="74" t="n">
        <x:f>IF(OR(J153="",G153="",K153=""),"",J153*1000000000*(G153/1000)^3/(12*(1-K153^2)))</x:f>
        <x:v>952148.4375</x:v>
      </x:c>
      <x:c r="Q153" s="76" t="n">
        <x:f>IF(OR(I153="",P153=""),"",343.2^2/(2*PI())*SQRT(I153/P153))</x:f>
        <x:v>189.69883699040048</x:v>
      </x:c>
      <x:c r="R153" s="58" t="n">
        <x:v>6.5</x:v>
      </x:c>
      <x:c r="S153" s="62" t="n">
        <x:v>0.16</x:v>
      </x:c>
      <x:c r="T153" s="46" t="str">
        <x:v>20 °C / kuru nominal</x:v>
      </x:c>
      <x:c r="U153" s="46" t="str">
        <x:v>ORTA</x:v>
      </x:c>
      <x:c r="V153" s="46" t="str">
        <x:v>https://storefrontapi.commerce.xella.com/occ/v2/at/catalogs/atContentCatalog/versions/Online/xellamedia/Ytong-BAU-EPD-Porenbetonsteine.pdf</x:v>
      </x:c>
      <x:c r="W153" s="50" t="str">
        <x:v>Xella EPD aralığına oturtulmuş nominal sınıf: ρ=300–650 kg/m³, E≈750–3250 MPa, basınç dayanımı≈2.2–6.5 MPa. Gerçek ürün sınıfı ve nem için doğrulayın.</x:v>
      </x:c>
    </x:row>
    <x:row r="154">
      <x:c r="A154" s="46" t="str">
        <x:v>AAC-D650-T175</x:v>
      </x:c>
      <x:c r="B154" s="46" t="str">
        <x:v>AAC / Gazbeton</x:v>
      </x:c>
      <x:c r="C154" s="46" t="str">
        <x:v>Nominal kuru yoğunluk sınıfı 650 kg/m³</x:v>
      </x:c>
      <x:c r="D154" s="46" t="str">
        <x:v>GENERIC</x:v>
      </x:c>
      <x:c r="E154" s="46" t="str">
        <x:v>AAC D650</x:v>
      </x:c>
      <x:c r="F154" s="70" t="str">
        <x:v>RANGE_ANCHORED_ENGINEERING</x:v>
      </x:c>
      <x:c r="G154" s="54" t="n">
        <x:v>175</x:v>
      </x:c>
      <x:c r="H154" s="54" t="n">
        <x:v>650</x:v>
      </x:c>
      <x:c r="I154" s="74" t="n">
        <x:f>IF(OR(G154="",H154=""),"",G154/1000*H154)</x:f>
        <x:v>113.74999999999999</x:v>
      </x:c>
      <x:c r="J154" s="75" t="n">
        <x:v>3.25</x:v>
      </x:c>
      <x:c r="K154" s="75" t="n">
        <x:v>0.2</x:v>
      </x:c>
      <x:c r="L154" s="75" t="n">
        <x:v>0.025</x:v>
      </x:c>
      <x:c r="M154" s="75" t="n">
        <x:f>IF(OR(J154="",K154=""),"",J154/(2*(1+K154)))</x:f>
        <x:v>1.3541666666666667</x:v>
      </x:c>
      <x:c r="N154" s="76" t="n">
        <x:f>IF(OR(J154="",H154="",K154=""),"",SQRT(J154*1000000000*(1-K154)/(H154*(1+K154)*(1-2*K154))))</x:f>
        <x:v>2357.0226039551585</x:v>
      </x:c>
      <x:c r="O154" s="75" t="n">
        <x:f>IF(OR(H154="",N154=""),"",H154*N154/1000000)</x:f>
        <x:v>1.532064692570853</x:v>
      </x:c>
      <x:c r="P154" s="74" t="n">
        <x:f>IF(OR(J154="",G154="",K154=""),"",J154*1000000000*(G154/1000)^3/(12*(1-K154^2)))</x:f>
        <x:v>1511976.4539930553</x:v>
      </x:c>
      <x:c r="Q154" s="76" t="n">
        <x:f>IF(OR(I154="",P154=""),"",343.2^2/(2*PI())*SQRT(I154/P154))</x:f>
        <x:v>162.599003134629</x:v>
      </x:c>
      <x:c r="R154" s="58" t="n">
        <x:v>6.5</x:v>
      </x:c>
      <x:c r="S154" s="62" t="n">
        <x:v>0.16</x:v>
      </x:c>
      <x:c r="T154" s="46" t="str">
        <x:v>20 °C / kuru nominal</x:v>
      </x:c>
      <x:c r="U154" s="46" t="str">
        <x:v>ORTA</x:v>
      </x:c>
      <x:c r="V154" s="46" t="str">
        <x:v>https://storefrontapi.commerce.xella.com/occ/v2/at/catalogs/atContentCatalog/versions/Online/xellamedia/Ytong-BAU-EPD-Porenbetonsteine.pdf</x:v>
      </x:c>
      <x:c r="W154" s="50" t="str">
        <x:v>Xella EPD aralığına oturtulmuş nominal sınıf: ρ=300–650 kg/m³, E≈750–3250 MPa, basınç dayanımı≈2.2–6.5 MPa. Gerçek ürün sınıfı ve nem için doğrulayın.</x:v>
      </x:c>
    </x:row>
    <x:row r="155">
      <x:c r="A155" s="46" t="str">
        <x:v>AAC-D650-T200</x:v>
      </x:c>
      <x:c r="B155" s="46" t="str">
        <x:v>AAC / Gazbeton</x:v>
      </x:c>
      <x:c r="C155" s="46" t="str">
        <x:v>Nominal kuru yoğunluk sınıfı 650 kg/m³</x:v>
      </x:c>
      <x:c r="D155" s="46" t="str">
        <x:v>GENERIC</x:v>
      </x:c>
      <x:c r="E155" s="46" t="str">
        <x:v>AAC D650</x:v>
      </x:c>
      <x:c r="F155" s="70" t="str">
        <x:v>RANGE_ANCHORED_ENGINEERING</x:v>
      </x:c>
      <x:c r="G155" s="54" t="n">
        <x:v>200</x:v>
      </x:c>
      <x:c r="H155" s="54" t="n">
        <x:v>650</x:v>
      </x:c>
      <x:c r="I155" s="74" t="n">
        <x:f>IF(OR(G155="",H155=""),"",G155/1000*H155)</x:f>
        <x:v>130</x:v>
      </x:c>
      <x:c r="J155" s="75" t="n">
        <x:v>3.25</x:v>
      </x:c>
      <x:c r="K155" s="75" t="n">
        <x:v>0.2</x:v>
      </x:c>
      <x:c r="L155" s="75" t="n">
        <x:v>0.025</x:v>
      </x:c>
      <x:c r="M155" s="75" t="n">
        <x:f>IF(OR(J155="",K155=""),"",J155/(2*(1+K155)))</x:f>
        <x:v>1.3541666666666667</x:v>
      </x:c>
      <x:c r="N155" s="76" t="n">
        <x:f>IF(OR(J155="",H155="",K155=""),"",SQRT(J155*1000000000*(1-K155)/(H155*(1+K155)*(1-2*K155))))</x:f>
        <x:v>2357.0226039551585</x:v>
      </x:c>
      <x:c r="O155" s="75" t="n">
        <x:f>IF(OR(H155="",N155=""),"",H155*N155/1000000)</x:f>
        <x:v>1.532064692570853</x:v>
      </x:c>
      <x:c r="P155" s="74" t="n">
        <x:f>IF(OR(J155="",G155="",K155=""),"",J155*1000000000*(G155/1000)^3/(12*(1-K155^2)))</x:f>
        <x:v>2256944.444444445</x:v>
      </x:c>
      <x:c r="Q155" s="76" t="n">
        <x:f>IF(OR(I155="",P155=""),"",343.2^2/(2*PI())*SQRT(I155/P155))</x:f>
        <x:v>142.27412774280035</x:v>
      </x:c>
      <x:c r="R155" s="58" t="n">
        <x:v>6.5</x:v>
      </x:c>
      <x:c r="S155" s="62" t="n">
        <x:v>0.16</x:v>
      </x:c>
      <x:c r="T155" s="46" t="str">
        <x:v>20 °C / kuru nominal</x:v>
      </x:c>
      <x:c r="U155" s="46" t="str">
        <x:v>ORTA</x:v>
      </x:c>
      <x:c r="V155" s="46" t="str">
        <x:v>https://storefrontapi.commerce.xella.com/occ/v2/at/catalogs/atContentCatalog/versions/Online/xellamedia/Ytong-BAU-EPD-Porenbetonsteine.pdf</x:v>
      </x:c>
      <x:c r="W155" s="50" t="str">
        <x:v>Xella EPD aralığına oturtulmuş nominal sınıf: ρ=300–650 kg/m³, E≈750–3250 MPa, basınç dayanımı≈2.2–6.5 MPa. Gerçek ürün sınıfı ve nem için doğrulayın.</x:v>
      </x:c>
    </x:row>
    <x:row r="156">
      <x:c r="A156" s="46" t="str">
        <x:v>AAC-D650-T225</x:v>
      </x:c>
      <x:c r="B156" s="46" t="str">
        <x:v>AAC / Gazbeton</x:v>
      </x:c>
      <x:c r="C156" s="46" t="str">
        <x:v>Nominal kuru yoğunluk sınıfı 650 kg/m³</x:v>
      </x:c>
      <x:c r="D156" s="46" t="str">
        <x:v>GENERIC</x:v>
      </x:c>
      <x:c r="E156" s="46" t="str">
        <x:v>AAC D650</x:v>
      </x:c>
      <x:c r="F156" s="70" t="str">
        <x:v>RANGE_ANCHORED_ENGINEERING</x:v>
      </x:c>
      <x:c r="G156" s="54" t="n">
        <x:v>225</x:v>
      </x:c>
      <x:c r="H156" s="54" t="n">
        <x:v>650</x:v>
      </x:c>
      <x:c r="I156" s="74" t="n">
        <x:f>IF(OR(G156="",H156=""),"",G156/1000*H156)</x:f>
        <x:v>146.25</x:v>
      </x:c>
      <x:c r="J156" s="75" t="n">
        <x:v>3.25</x:v>
      </x:c>
      <x:c r="K156" s="75" t="n">
        <x:v>0.2</x:v>
      </x:c>
      <x:c r="L156" s="75" t="n">
        <x:v>0.025</x:v>
      </x:c>
      <x:c r="M156" s="75" t="n">
        <x:f>IF(OR(J156="",K156=""),"",J156/(2*(1+K156)))</x:f>
        <x:v>1.3541666666666667</x:v>
      </x:c>
      <x:c r="N156" s="76" t="n">
        <x:f>IF(OR(J156="",H156="",K156=""),"",SQRT(J156*1000000000*(1-K156)/(H156*(1+K156)*(1-2*K156))))</x:f>
        <x:v>2357.0226039551585</x:v>
      </x:c>
      <x:c r="O156" s="75" t="n">
        <x:f>IF(OR(H156="",N156=""),"",H156*N156/1000000)</x:f>
        <x:v>1.532064692570853</x:v>
      </x:c>
      <x:c r="P156" s="74" t="n">
        <x:f>IF(OR(J156="",G156="",K156=""),"",J156*1000000000*(G156/1000)^3/(12*(1-K156^2)))</x:f>
        <x:v>3213500.976562501</x:v>
      </x:c>
      <x:c r="Q156" s="76" t="n">
        <x:f>IF(OR(I156="",P156=""),"",343.2^2/(2*PI())*SQRT(I156/P156))</x:f>
        <x:v>126.46589132693363</x:v>
      </x:c>
      <x:c r="R156" s="58" t="n">
        <x:v>6.5</x:v>
      </x:c>
      <x:c r="S156" s="62" t="n">
        <x:v>0.16</x:v>
      </x:c>
      <x:c r="T156" s="46" t="str">
        <x:v>20 °C / kuru nominal</x:v>
      </x:c>
      <x:c r="U156" s="46" t="str">
        <x:v>ORTA</x:v>
      </x:c>
      <x:c r="V156" s="46" t="str">
        <x:v>https://storefrontapi.commerce.xella.com/occ/v2/at/catalogs/atContentCatalog/versions/Online/xellamedia/Ytong-BAU-EPD-Porenbetonsteine.pdf</x:v>
      </x:c>
      <x:c r="W156" s="50" t="str">
        <x:v>Xella EPD aralığına oturtulmuş nominal sınıf: ρ=300–650 kg/m³, E≈750–3250 MPa, basınç dayanımı≈2.2–6.5 MPa. Gerçek ürün sınıfı ve nem için doğrulayın.</x:v>
      </x:c>
    </x:row>
    <x:row r="157">
      <x:c r="A157" s="46" t="str">
        <x:v>AAC-D650-T250</x:v>
      </x:c>
      <x:c r="B157" s="46" t="str">
        <x:v>AAC / Gazbeton</x:v>
      </x:c>
      <x:c r="C157" s="46" t="str">
        <x:v>Nominal kuru yoğunluk sınıfı 650 kg/m³</x:v>
      </x:c>
      <x:c r="D157" s="46" t="str">
        <x:v>GENERIC</x:v>
      </x:c>
      <x:c r="E157" s="46" t="str">
        <x:v>AAC D650</x:v>
      </x:c>
      <x:c r="F157" s="70" t="str">
        <x:v>RANGE_ANCHORED_ENGINEERING</x:v>
      </x:c>
      <x:c r="G157" s="54" t="n">
        <x:v>250</x:v>
      </x:c>
      <x:c r="H157" s="54" t="n">
        <x:v>650</x:v>
      </x:c>
      <x:c r="I157" s="74" t="n">
        <x:f>IF(OR(G157="",H157=""),"",G157/1000*H157)</x:f>
        <x:v>162.5</x:v>
      </x:c>
      <x:c r="J157" s="75" t="n">
        <x:v>3.25</x:v>
      </x:c>
      <x:c r="K157" s="75" t="n">
        <x:v>0.2</x:v>
      </x:c>
      <x:c r="L157" s="75" t="n">
        <x:v>0.025</x:v>
      </x:c>
      <x:c r="M157" s="75" t="n">
        <x:f>IF(OR(J157="",K157=""),"",J157/(2*(1+K157)))</x:f>
        <x:v>1.3541666666666667</x:v>
      </x:c>
      <x:c r="N157" s="76" t="n">
        <x:f>IF(OR(J157="",H157="",K157=""),"",SQRT(J157*1000000000*(1-K157)/(H157*(1+K157)*(1-2*K157))))</x:f>
        <x:v>2357.0226039551585</x:v>
      </x:c>
      <x:c r="O157" s="75" t="n">
        <x:f>IF(OR(H157="",N157=""),"",H157*N157/1000000)</x:f>
        <x:v>1.532064692570853</x:v>
      </x:c>
      <x:c r="P157" s="74" t="n">
        <x:f>IF(OR(J157="",G157="",K157=""),"",J157*1000000000*(G157/1000)^3/(12*(1-K157^2)))</x:f>
        <x:v>4408094.618055556</x:v>
      </x:c>
      <x:c r="Q157" s="76" t="n">
        <x:f>IF(OR(I157="",P157=""),"",343.2^2/(2*PI())*SQRT(I157/P157))</x:f>
        <x:v>113.81930219424028</x:v>
      </x:c>
      <x:c r="R157" s="58" t="n">
        <x:v>6.5</x:v>
      </x:c>
      <x:c r="S157" s="62" t="n">
        <x:v>0.16</x:v>
      </x:c>
      <x:c r="T157" s="46" t="str">
        <x:v>20 °C / kuru nominal</x:v>
      </x:c>
      <x:c r="U157" s="46" t="str">
        <x:v>ORTA</x:v>
      </x:c>
      <x:c r="V157" s="46" t="str">
        <x:v>https://storefrontapi.commerce.xella.com/occ/v2/at/catalogs/atContentCatalog/versions/Online/xellamedia/Ytong-BAU-EPD-Porenbetonsteine.pdf</x:v>
      </x:c>
      <x:c r="W157" s="50" t="str">
        <x:v>Xella EPD aralığına oturtulmuş nominal sınıf: ρ=300–650 kg/m³, E≈750–3250 MPa, basınç dayanımı≈2.2–6.5 MPa. Gerçek ürün sınıfı ve nem için doğrulayın.</x:v>
      </x:c>
    </x:row>
    <x:row r="158">
      <x:c r="A158" s="46" t="str">
        <x:v>AAC-D650-T300</x:v>
      </x:c>
      <x:c r="B158" s="46" t="str">
        <x:v>AAC / Gazbeton</x:v>
      </x:c>
      <x:c r="C158" s="46" t="str">
        <x:v>Nominal kuru yoğunluk sınıfı 650 kg/m³</x:v>
      </x:c>
      <x:c r="D158" s="46" t="str">
        <x:v>GENERIC</x:v>
      </x:c>
      <x:c r="E158" s="46" t="str">
        <x:v>AAC D650</x:v>
      </x:c>
      <x:c r="F158" s="70" t="str">
        <x:v>RANGE_ANCHORED_ENGINEERING</x:v>
      </x:c>
      <x:c r="G158" s="54" t="n">
        <x:v>300</x:v>
      </x:c>
      <x:c r="H158" s="54" t="n">
        <x:v>650</x:v>
      </x:c>
      <x:c r="I158" s="74" t="n">
        <x:f>IF(OR(G158="",H158=""),"",G158/1000*H158)</x:f>
        <x:v>195</x:v>
      </x:c>
      <x:c r="J158" s="75" t="n">
        <x:v>3.25</x:v>
      </x:c>
      <x:c r="K158" s="75" t="n">
        <x:v>0.2</x:v>
      </x:c>
      <x:c r="L158" s="75" t="n">
        <x:v>0.025</x:v>
      </x:c>
      <x:c r="M158" s="75" t="n">
        <x:f>IF(OR(J158="",K158=""),"",J158/(2*(1+K158)))</x:f>
        <x:v>1.3541666666666667</x:v>
      </x:c>
      <x:c r="N158" s="76" t="n">
        <x:f>IF(OR(J158="",H158="",K158=""),"",SQRT(J158*1000000000*(1-K158)/(H158*(1+K158)*(1-2*K158))))</x:f>
        <x:v>2357.0226039551585</x:v>
      </x:c>
      <x:c r="O158" s="75" t="n">
        <x:f>IF(OR(H158="",N158=""),"",H158*N158/1000000)</x:f>
        <x:v>1.532064692570853</x:v>
      </x:c>
      <x:c r="P158" s="74" t="n">
        <x:f>IF(OR(J158="",G158="",K158=""),"",J158*1000000000*(G158/1000)^3/(12*(1-K158^2)))</x:f>
        <x:v>7617187.5</x:v>
      </x:c>
      <x:c r="Q158" s="76" t="n">
        <x:f>IF(OR(I158="",P158=""),"",343.2^2/(2*PI())*SQRT(I158/P158))</x:f>
        <x:v>94.84941849520024</x:v>
      </x:c>
      <x:c r="R158" s="58" t="n">
        <x:v>6.5</x:v>
      </x:c>
      <x:c r="S158" s="62" t="n">
        <x:v>0.16</x:v>
      </x:c>
      <x:c r="T158" s="46" t="str">
        <x:v>20 °C / kuru nominal</x:v>
      </x:c>
      <x:c r="U158" s="46" t="str">
        <x:v>ORTA</x:v>
      </x:c>
      <x:c r="V158" s="46" t="str">
        <x:v>https://storefrontapi.commerce.xella.com/occ/v2/at/catalogs/atContentCatalog/versions/Online/xellamedia/Ytong-BAU-EPD-Porenbetonsteine.pdf</x:v>
      </x:c>
      <x:c r="W158" s="50" t="str">
        <x:v>Xella EPD aralığına oturtulmuş nominal sınıf: ρ=300–650 kg/m³, E≈750–3250 MPa, basınç dayanımı≈2.2–6.5 MPa. Gerçek ürün sınıfı ve nem için doğrulayın.</x:v>
      </x:c>
    </x:row>
    <x:row r="159">
      <x:c r="A159" s="46" t="str">
        <x:v>AAC-D650-T375</x:v>
      </x:c>
      <x:c r="B159" s="46" t="str">
        <x:v>AAC / Gazbeton</x:v>
      </x:c>
      <x:c r="C159" s="46" t="str">
        <x:v>Nominal kuru yoğunluk sınıfı 650 kg/m³</x:v>
      </x:c>
      <x:c r="D159" s="46" t="str">
        <x:v>GENERIC</x:v>
      </x:c>
      <x:c r="E159" s="46" t="str">
        <x:v>AAC D650</x:v>
      </x:c>
      <x:c r="F159" s="70" t="str">
        <x:v>RANGE_ANCHORED_ENGINEERING</x:v>
      </x:c>
      <x:c r="G159" s="54" t="n">
        <x:v>375</x:v>
      </x:c>
      <x:c r="H159" s="54" t="n">
        <x:v>650</x:v>
      </x:c>
      <x:c r="I159" s="74" t="n">
        <x:f>IF(OR(G159="",H159=""),"",G159/1000*H159)</x:f>
        <x:v>243.75</x:v>
      </x:c>
      <x:c r="J159" s="75" t="n">
        <x:v>3.25</x:v>
      </x:c>
      <x:c r="K159" s="75" t="n">
        <x:v>0.2</x:v>
      </x:c>
      <x:c r="L159" s="75" t="n">
        <x:v>0.025</x:v>
      </x:c>
      <x:c r="M159" s="75" t="n">
        <x:f>IF(OR(J159="",K159=""),"",J159/(2*(1+K159)))</x:f>
        <x:v>1.3541666666666667</x:v>
      </x:c>
      <x:c r="N159" s="76" t="n">
        <x:f>IF(OR(J159="",H159="",K159=""),"",SQRT(J159*1000000000*(1-K159)/(H159*(1+K159)*(1-2*K159))))</x:f>
        <x:v>2357.0226039551585</x:v>
      </x:c>
      <x:c r="O159" s="75" t="n">
        <x:f>IF(OR(H159="",N159=""),"",H159*N159/1000000)</x:f>
        <x:v>1.532064692570853</x:v>
      </x:c>
      <x:c r="P159" s="74" t="n">
        <x:f>IF(OR(J159="",G159="",K159=""),"",J159*1000000000*(G159/1000)^3/(12*(1-K159^2)))</x:f>
        <x:v>14877319.3359375</x:v>
      </x:c>
      <x:c r="Q159" s="76" t="n">
        <x:f>IF(OR(I159="",P159=""),"",343.2^2/(2*PI())*SQRT(I159/P159))</x:f>
        <x:v>75.87953479616019</x:v>
      </x:c>
      <x:c r="R159" s="58" t="n">
        <x:v>6.5</x:v>
      </x:c>
      <x:c r="S159" s="62" t="n">
        <x:v>0.16</x:v>
      </x:c>
      <x:c r="T159" s="46" t="str">
        <x:v>20 °C / kuru nominal</x:v>
      </x:c>
      <x:c r="U159" s="46" t="str">
        <x:v>ORTA</x:v>
      </x:c>
      <x:c r="V159" s="46" t="str">
        <x:v>https://storefrontapi.commerce.xella.com/occ/v2/at/catalogs/atContentCatalog/versions/Online/xellamedia/Ytong-BAU-EPD-Porenbetonsteine.pdf</x:v>
      </x:c>
      <x:c r="W159" s="50" t="str">
        <x:v>Xella EPD aralığına oturtulmuş nominal sınıf: ρ=300–650 kg/m³, E≈750–3250 MPa, basınç dayanımı≈2.2–6.5 MPa. Gerçek ürün sınıfı ve nem için doğrulayın.</x:v>
      </x:c>
    </x:row>
    <x:row r="160">
      <x:c r="A160" s="46" t="str">
        <x:v>AAC-D650-T450</x:v>
      </x:c>
      <x:c r="B160" s="46" t="str">
        <x:v>AAC / Gazbeton</x:v>
      </x:c>
      <x:c r="C160" s="46" t="str">
        <x:v>Nominal kuru yoğunluk sınıfı 650 kg/m³</x:v>
      </x:c>
      <x:c r="D160" s="46" t="str">
        <x:v>GENERIC</x:v>
      </x:c>
      <x:c r="E160" s="46" t="str">
        <x:v>AAC D650</x:v>
      </x:c>
      <x:c r="F160" s="70" t="str">
        <x:v>RANGE_ANCHORED_ENGINEERING</x:v>
      </x:c>
      <x:c r="G160" s="54" t="n">
        <x:v>450</x:v>
      </x:c>
      <x:c r="H160" s="54" t="n">
        <x:v>650</x:v>
      </x:c>
      <x:c r="I160" s="74" t="n">
        <x:f>IF(OR(G160="",H160=""),"",G160/1000*H160)</x:f>
        <x:v>292.5</x:v>
      </x:c>
      <x:c r="J160" s="75" t="n">
        <x:v>3.25</x:v>
      </x:c>
      <x:c r="K160" s="75" t="n">
        <x:v>0.2</x:v>
      </x:c>
      <x:c r="L160" s="75" t="n">
        <x:v>0.025</x:v>
      </x:c>
      <x:c r="M160" s="75" t="n">
        <x:f>IF(OR(J160="",K160=""),"",J160/(2*(1+K160)))</x:f>
        <x:v>1.3541666666666667</x:v>
      </x:c>
      <x:c r="N160" s="76" t="n">
        <x:f>IF(OR(J160="",H160="",K160=""),"",SQRT(J160*1000000000*(1-K160)/(H160*(1+K160)*(1-2*K160))))</x:f>
        <x:v>2357.0226039551585</x:v>
      </x:c>
      <x:c r="O160" s="75" t="n">
        <x:f>IF(OR(H160="",N160=""),"",H160*N160/1000000)</x:f>
        <x:v>1.532064692570853</x:v>
      </x:c>
      <x:c r="P160" s="74" t="n">
        <x:f>IF(OR(J160="",G160="",K160=""),"",J160*1000000000*(G160/1000)^3/(12*(1-K160^2)))</x:f>
        <x:v>25708007.812500007</x:v>
      </x:c>
      <x:c r="Q160" s="76" t="n">
        <x:f>IF(OR(I160="",P160=""),"",343.2^2/(2*PI())*SQRT(I160/P160))</x:f>
        <x:v>63.232945663466815</x:v>
      </x:c>
      <x:c r="R160" s="58" t="n">
        <x:v>6.5</x:v>
      </x:c>
      <x:c r="S160" s="62" t="n">
        <x:v>0.16</x:v>
      </x:c>
      <x:c r="T160" s="46" t="str">
        <x:v>20 °C / kuru nominal</x:v>
      </x:c>
      <x:c r="U160" s="46" t="str">
        <x:v>ORTA</x:v>
      </x:c>
      <x:c r="V160" s="46" t="str">
        <x:v>https://storefrontapi.commerce.xella.com/occ/v2/at/catalogs/atContentCatalog/versions/Online/xellamedia/Ytong-BAU-EPD-Porenbetonsteine.pdf</x:v>
      </x:c>
      <x:c r="W160" s="50" t="str">
        <x:v>Xella EPD aralığına oturtulmuş nominal sınıf: ρ=300–650 kg/m³, E≈750–3250 MPa, basınç dayanımı≈2.2–6.5 MPa. Gerçek ürün sınıfı ve nem için doğrulayın.</x:v>
      </x:c>
    </x:row>
    <x:row r="161">
      <x:c r="A161" s="46" t="str">
        <x:v>AAC-D650-T500</x:v>
      </x:c>
      <x:c r="B161" s="46" t="str">
        <x:v>AAC / Gazbeton</x:v>
      </x:c>
      <x:c r="C161" s="46" t="str">
        <x:v>Nominal kuru yoğunluk sınıfı 650 kg/m³</x:v>
      </x:c>
      <x:c r="D161" s="46" t="str">
        <x:v>GENERIC</x:v>
      </x:c>
      <x:c r="E161" s="46" t="str">
        <x:v>AAC D650</x:v>
      </x:c>
      <x:c r="F161" s="70" t="str">
        <x:v>RANGE_ANCHORED_ENGINEERING</x:v>
      </x:c>
      <x:c r="G161" s="54" t="n">
        <x:v>500</x:v>
      </x:c>
      <x:c r="H161" s="54" t="n">
        <x:v>650</x:v>
      </x:c>
      <x:c r="I161" s="74" t="n">
        <x:f>IF(OR(G161="",H161=""),"",G161/1000*H161)</x:f>
        <x:v>325</x:v>
      </x:c>
      <x:c r="J161" s="75" t="n">
        <x:v>3.25</x:v>
      </x:c>
      <x:c r="K161" s="75" t="n">
        <x:v>0.2</x:v>
      </x:c>
      <x:c r="L161" s="75" t="n">
        <x:v>0.025</x:v>
      </x:c>
      <x:c r="M161" s="75" t="n">
        <x:f>IF(OR(J161="",K161=""),"",J161/(2*(1+K161)))</x:f>
        <x:v>1.3541666666666667</x:v>
      </x:c>
      <x:c r="N161" s="76" t="n">
        <x:f>IF(OR(J161="",H161="",K161=""),"",SQRT(J161*1000000000*(1-K161)/(H161*(1+K161)*(1-2*K161))))</x:f>
        <x:v>2357.0226039551585</x:v>
      </x:c>
      <x:c r="O161" s="75" t="n">
        <x:f>IF(OR(H161="",N161=""),"",H161*N161/1000000)</x:f>
        <x:v>1.532064692570853</x:v>
      </x:c>
      <x:c r="P161" s="74" t="n">
        <x:f>IF(OR(J161="",G161="",K161=""),"",J161*1000000000*(G161/1000)^3/(12*(1-K161^2)))</x:f>
        <x:v>35264756.94444445</x:v>
      </x:c>
      <x:c r="Q161" s="76" t="n">
        <x:f>IF(OR(I161="",P161=""),"",343.2^2/(2*PI())*SQRT(I161/P161))</x:f>
        <x:v>56.90965109712014</x:v>
      </x:c>
      <x:c r="R161" s="58" t="n">
        <x:v>6.5</x:v>
      </x:c>
      <x:c r="S161" s="62" t="n">
        <x:v>0.16</x:v>
      </x:c>
      <x:c r="T161" s="46" t="str">
        <x:v>20 °C / kuru nominal</x:v>
      </x:c>
      <x:c r="U161" s="46" t="str">
        <x:v>ORTA</x:v>
      </x:c>
      <x:c r="V161" s="46" t="str">
        <x:v>https://storefrontapi.commerce.xella.com/occ/v2/at/catalogs/atContentCatalog/versions/Online/xellamedia/Ytong-BAU-EPD-Porenbetonsteine.pdf</x:v>
      </x:c>
      <x:c r="W161" s="50" t="str">
        <x:v>Xella EPD aralığına oturtulmuş nominal sınıf: ρ=300–650 kg/m³, E≈750–3250 MPa, basınç dayanımı≈2.2–6.5 MPa. Gerçek ürün sınıfı ve nem için doğrulayın.</x:v>
      </x:c>
    </x:row>
    <x:row r="162">
      <x:c r="A162" s="46" t="str">
        <x:v>AAC-D700-T50</x:v>
      </x:c>
      <x:c r="B162" s="46" t="str">
        <x:v>AAC / Gazbeton</x:v>
      </x:c>
      <x:c r="C162" s="46" t="str">
        <x:v>Nominal kuru yoğunluk sınıfı 700 kg/m³</x:v>
      </x:c>
      <x:c r="D162" s="46" t="str">
        <x:v>GENERIC</x:v>
      </x:c>
      <x:c r="E162" s="46" t="str">
        <x:v>AAC D700</x:v>
      </x:c>
      <x:c r="F162" s="70" t="str">
        <x:v>ENGINEERING_EXTRAPOLATION</x:v>
      </x:c>
      <x:c r="G162" s="54" t="n">
        <x:v>50</x:v>
      </x:c>
      <x:c r="H162" s="54" t="n">
        <x:v>700</x:v>
      </x:c>
      <x:c r="I162" s="74" t="n">
        <x:f>IF(OR(G162="",H162=""),"",G162/1000*H162)</x:f>
        <x:v>35</x:v>
      </x:c>
      <x:c r="J162" s="75" t="n">
        <x:v>3.5</x:v>
      </x:c>
      <x:c r="K162" s="75" t="n">
        <x:v>0.2</x:v>
      </x:c>
      <x:c r="L162" s="75" t="n">
        <x:v>0.025</x:v>
      </x:c>
      <x:c r="M162" s="75" t="n">
        <x:f>IF(OR(J162="",K162=""),"",J162/(2*(1+K162)))</x:f>
        <x:v>1.4583333333333335</x:v>
      </x:c>
      <x:c r="N162" s="76" t="n">
        <x:f>IF(OR(J162="",H162="",K162=""),"",SQRT(J162*1000000000*(1-K162)/(H162*(1+K162)*(1-2*K162))))</x:f>
        <x:v>2357.0226039551585</x:v>
      </x:c>
      <x:c r="O162" s="75" t="n">
        <x:f>IF(OR(H162="",N162=""),"",H162*N162/1000000)</x:f>
        <x:v>1.6499158227686108</x:v>
      </x:c>
      <x:c r="P162" s="74" t="n">
        <x:f>IF(OR(J162="",G162="",K162=""),"",J162*1000000000*(G162/1000)^3/(12*(1-K162^2)))</x:f>
        <x:v>37977.43055555557</x:v>
      </x:c>
      <x:c r="Q162" s="76" t="n">
        <x:f>IF(OR(I162="",P162=""),"",343.2^2/(2*PI())*SQRT(I162/P162))</x:f>
        <x:v>569.0965109712013</x:v>
      </x:c>
      <x:c r="R162" s="58" t="n">
        <x:v>7.2</x:v>
      </x:c>
      <x:c r="S162" s="62" t="n">
        <x:v>0.175</x:v>
      </x:c>
      <x:c r="T162" s="46" t="str">
        <x:v>20 °C / kuru nominal</x:v>
      </x:c>
      <x:c r="U162" s="46" t="str">
        <x:v>DÜŞÜK</x:v>
      </x:c>
      <x:c r="V162" s="46" t="str"/>
      <x:c r="W162" s="50" t="str">
        <x:v>650 kg/m³ üzeri genel AAC sınıfı; seçili üretici standardı/testiyle doğrulanmalıdır.</x:v>
      </x:c>
    </x:row>
    <x:row r="163">
      <x:c r="A163" s="46" t="str">
        <x:v>AAC-D700-T75</x:v>
      </x:c>
      <x:c r="B163" s="46" t="str">
        <x:v>AAC / Gazbeton</x:v>
      </x:c>
      <x:c r="C163" s="46" t="str">
        <x:v>Nominal kuru yoğunluk sınıfı 700 kg/m³</x:v>
      </x:c>
      <x:c r="D163" s="46" t="str">
        <x:v>GENERIC</x:v>
      </x:c>
      <x:c r="E163" s="46" t="str">
        <x:v>AAC D700</x:v>
      </x:c>
      <x:c r="F163" s="70" t="str">
        <x:v>ENGINEERING_EXTRAPOLATION</x:v>
      </x:c>
      <x:c r="G163" s="54" t="n">
        <x:v>75</x:v>
      </x:c>
      <x:c r="H163" s="54" t="n">
        <x:v>700</x:v>
      </x:c>
      <x:c r="I163" s="74" t="n">
        <x:f>IF(OR(G163="",H163=""),"",G163/1000*H163)</x:f>
        <x:v>52.5</x:v>
      </x:c>
      <x:c r="J163" s="75" t="n">
        <x:v>3.5</x:v>
      </x:c>
      <x:c r="K163" s="75" t="n">
        <x:v>0.2</x:v>
      </x:c>
      <x:c r="L163" s="75" t="n">
        <x:v>0.025</x:v>
      </x:c>
      <x:c r="M163" s="75" t="n">
        <x:f>IF(OR(J163="",K163=""),"",J163/(2*(1+K163)))</x:f>
        <x:v>1.4583333333333335</x:v>
      </x:c>
      <x:c r="N163" s="76" t="n">
        <x:f>IF(OR(J163="",H163="",K163=""),"",SQRT(J163*1000000000*(1-K163)/(H163*(1+K163)*(1-2*K163))))</x:f>
        <x:v>2357.0226039551585</x:v>
      </x:c>
      <x:c r="O163" s="75" t="n">
        <x:f>IF(OR(H163="",N163=""),"",H163*N163/1000000)</x:f>
        <x:v>1.6499158227686108</x:v>
      </x:c>
      <x:c r="P163" s="74" t="n">
        <x:f>IF(OR(J163="",G163="",K163=""),"",J163*1000000000*(G163/1000)^3/(12*(1-K163^2)))</x:f>
        <x:v>128173.828125</x:v>
      </x:c>
      <x:c r="Q163" s="76" t="n">
        <x:f>IF(OR(I163="",P163=""),"",343.2^2/(2*PI())*SQRT(I163/P163))</x:f>
        <x:v>379.39767398080096</x:v>
      </x:c>
      <x:c r="R163" s="58" t="n">
        <x:v>7.2</x:v>
      </x:c>
      <x:c r="S163" s="62" t="n">
        <x:v>0.175</x:v>
      </x:c>
      <x:c r="T163" s="46" t="str">
        <x:v>20 °C / kuru nominal</x:v>
      </x:c>
      <x:c r="U163" s="46" t="str">
        <x:v>DÜŞÜK</x:v>
      </x:c>
      <x:c r="V163" s="46" t="str"/>
      <x:c r="W163" s="50" t="str">
        <x:v>650 kg/m³ üzeri genel AAC sınıfı; seçili üretici standardı/testiyle doğrulanmalıdır.</x:v>
      </x:c>
    </x:row>
    <x:row r="164">
      <x:c r="A164" s="46" t="str">
        <x:v>AAC-D700-T100</x:v>
      </x:c>
      <x:c r="B164" s="46" t="str">
        <x:v>AAC / Gazbeton</x:v>
      </x:c>
      <x:c r="C164" s="46" t="str">
        <x:v>Nominal kuru yoğunluk sınıfı 700 kg/m³</x:v>
      </x:c>
      <x:c r="D164" s="46" t="str">
        <x:v>GENERIC</x:v>
      </x:c>
      <x:c r="E164" s="46" t="str">
        <x:v>AAC D700</x:v>
      </x:c>
      <x:c r="F164" s="70" t="str">
        <x:v>ENGINEERING_EXTRAPOLATION</x:v>
      </x:c>
      <x:c r="G164" s="54" t="n">
        <x:v>100</x:v>
      </x:c>
      <x:c r="H164" s="54" t="n">
        <x:v>700</x:v>
      </x:c>
      <x:c r="I164" s="74" t="n">
        <x:f>IF(OR(G164="",H164=""),"",G164/1000*H164)</x:f>
        <x:v>70</x:v>
      </x:c>
      <x:c r="J164" s="75" t="n">
        <x:v>3.5</x:v>
      </x:c>
      <x:c r="K164" s="75" t="n">
        <x:v>0.2</x:v>
      </x:c>
      <x:c r="L164" s="75" t="n">
        <x:v>0.025</x:v>
      </x:c>
      <x:c r="M164" s="75" t="n">
        <x:f>IF(OR(J164="",K164=""),"",J164/(2*(1+K164)))</x:f>
        <x:v>1.4583333333333335</x:v>
      </x:c>
      <x:c r="N164" s="76" t="n">
        <x:f>IF(OR(J164="",H164="",K164=""),"",SQRT(J164*1000000000*(1-K164)/(H164*(1+K164)*(1-2*K164))))</x:f>
        <x:v>2357.0226039551585</x:v>
      </x:c>
      <x:c r="O164" s="75" t="n">
        <x:f>IF(OR(H164="",N164=""),"",H164*N164/1000000)</x:f>
        <x:v>1.6499158227686108</x:v>
      </x:c>
      <x:c r="P164" s="74" t="n">
        <x:f>IF(OR(J164="",G164="",K164=""),"",J164*1000000000*(G164/1000)^3/(12*(1-K164^2)))</x:f>
        <x:v>303819.44444444455</x:v>
      </x:c>
      <x:c r="Q164" s="76" t="n">
        <x:f>IF(OR(I164="",P164=""),"",343.2^2/(2*PI())*SQRT(I164/P164))</x:f>
        <x:v>284.54825548560063</x:v>
      </x:c>
      <x:c r="R164" s="58" t="n">
        <x:v>7.2</x:v>
      </x:c>
      <x:c r="S164" s="62" t="n">
        <x:v>0.175</x:v>
      </x:c>
      <x:c r="T164" s="46" t="str">
        <x:v>20 °C / kuru nominal</x:v>
      </x:c>
      <x:c r="U164" s="46" t="str">
        <x:v>DÜŞÜK</x:v>
      </x:c>
      <x:c r="V164" s="46" t="str"/>
      <x:c r="W164" s="50" t="str">
        <x:v>650 kg/m³ üzeri genel AAC sınıfı; seçili üretici standardı/testiyle doğrulanmalıdır.</x:v>
      </x:c>
    </x:row>
    <x:row r="165">
      <x:c r="A165" s="46" t="str">
        <x:v>AAC-D700-T125</x:v>
      </x:c>
      <x:c r="B165" s="46" t="str">
        <x:v>AAC / Gazbeton</x:v>
      </x:c>
      <x:c r="C165" s="46" t="str">
        <x:v>Nominal kuru yoğunluk sınıfı 700 kg/m³</x:v>
      </x:c>
      <x:c r="D165" s="46" t="str">
        <x:v>GENERIC</x:v>
      </x:c>
      <x:c r="E165" s="46" t="str">
        <x:v>AAC D700</x:v>
      </x:c>
      <x:c r="F165" s="70" t="str">
        <x:v>ENGINEERING_EXTRAPOLATION</x:v>
      </x:c>
      <x:c r="G165" s="54" t="n">
        <x:v>125</x:v>
      </x:c>
      <x:c r="H165" s="54" t="n">
        <x:v>700</x:v>
      </x:c>
      <x:c r="I165" s="74" t="n">
        <x:f>IF(OR(G165="",H165=""),"",G165/1000*H165)</x:f>
        <x:v>87.5</x:v>
      </x:c>
      <x:c r="J165" s="75" t="n">
        <x:v>3.5</x:v>
      </x:c>
      <x:c r="K165" s="75" t="n">
        <x:v>0.2</x:v>
      </x:c>
      <x:c r="L165" s="75" t="n">
        <x:v>0.025</x:v>
      </x:c>
      <x:c r="M165" s="75" t="n">
        <x:f>IF(OR(J165="",K165=""),"",J165/(2*(1+K165)))</x:f>
        <x:v>1.4583333333333335</x:v>
      </x:c>
      <x:c r="N165" s="76" t="n">
        <x:f>IF(OR(J165="",H165="",K165=""),"",SQRT(J165*1000000000*(1-K165)/(H165*(1+K165)*(1-2*K165))))</x:f>
        <x:v>2357.0226039551585</x:v>
      </x:c>
      <x:c r="O165" s="75" t="n">
        <x:f>IF(OR(H165="",N165=""),"",H165*N165/1000000)</x:f>
        <x:v>1.6499158227686108</x:v>
      </x:c>
      <x:c r="P165" s="74" t="n">
        <x:f>IF(OR(J165="",G165="",K165=""),"",J165*1000000000*(G165/1000)^3/(12*(1-K165^2)))</x:f>
        <x:v>593397.3524305556</x:v>
      </x:c>
      <x:c r="Q165" s="76" t="n">
        <x:f>IF(OR(I165="",P165=""),"",343.2^2/(2*PI())*SQRT(I165/P165))</x:f>
        <x:v>227.63860438848056</x:v>
      </x:c>
      <x:c r="R165" s="58" t="n">
        <x:v>7.2</x:v>
      </x:c>
      <x:c r="S165" s="62" t="n">
        <x:v>0.175</x:v>
      </x:c>
      <x:c r="T165" s="46" t="str">
        <x:v>20 °C / kuru nominal</x:v>
      </x:c>
      <x:c r="U165" s="46" t="str">
        <x:v>DÜŞÜK</x:v>
      </x:c>
      <x:c r="V165" s="46" t="str"/>
      <x:c r="W165" s="50" t="str">
        <x:v>650 kg/m³ üzeri genel AAC sınıfı; seçili üretici standardı/testiyle doğrulanmalıdır.</x:v>
      </x:c>
    </x:row>
    <x:row r="166">
      <x:c r="A166" s="46" t="str">
        <x:v>AAC-D700-T150</x:v>
      </x:c>
      <x:c r="B166" s="46" t="str">
        <x:v>AAC / Gazbeton</x:v>
      </x:c>
      <x:c r="C166" s="46" t="str">
        <x:v>Nominal kuru yoğunluk sınıfı 700 kg/m³</x:v>
      </x:c>
      <x:c r="D166" s="46" t="str">
        <x:v>GENERIC</x:v>
      </x:c>
      <x:c r="E166" s="46" t="str">
        <x:v>AAC D700</x:v>
      </x:c>
      <x:c r="F166" s="70" t="str">
        <x:v>ENGINEERING_EXTRAPOLATION</x:v>
      </x:c>
      <x:c r="G166" s="54" t="n">
        <x:v>150</x:v>
      </x:c>
      <x:c r="H166" s="54" t="n">
        <x:v>700</x:v>
      </x:c>
      <x:c r="I166" s="74" t="n">
        <x:f>IF(OR(G166="",H166=""),"",G166/1000*H166)</x:f>
        <x:v>105</x:v>
      </x:c>
      <x:c r="J166" s="75" t="n">
        <x:v>3.5</x:v>
      </x:c>
      <x:c r="K166" s="75" t="n">
        <x:v>0.2</x:v>
      </x:c>
      <x:c r="L166" s="75" t="n">
        <x:v>0.025</x:v>
      </x:c>
      <x:c r="M166" s="75" t="n">
        <x:f>IF(OR(J166="",K166=""),"",J166/(2*(1+K166)))</x:f>
        <x:v>1.4583333333333335</x:v>
      </x:c>
      <x:c r="N166" s="76" t="n">
        <x:f>IF(OR(J166="",H166="",K166=""),"",SQRT(J166*1000000000*(1-K166)/(H166*(1+K166)*(1-2*K166))))</x:f>
        <x:v>2357.0226039551585</x:v>
      </x:c>
      <x:c r="O166" s="75" t="n">
        <x:f>IF(OR(H166="",N166=""),"",H166*N166/1000000)</x:f>
        <x:v>1.6499158227686108</x:v>
      </x:c>
      <x:c r="P166" s="74" t="n">
        <x:f>IF(OR(J166="",G166="",K166=""),"",J166*1000000000*(G166/1000)^3/(12*(1-K166^2)))</x:f>
        <x:v>1025390.625</x:v>
      </x:c>
      <x:c r="Q166" s="76" t="n">
        <x:f>IF(OR(I166="",P166=""),"",343.2^2/(2*PI())*SQRT(I166/P166))</x:f>
        <x:v>189.69883699040048</x:v>
      </x:c>
      <x:c r="R166" s="58" t="n">
        <x:v>7.2</x:v>
      </x:c>
      <x:c r="S166" s="62" t="n">
        <x:v>0.175</x:v>
      </x:c>
      <x:c r="T166" s="46" t="str">
        <x:v>20 °C / kuru nominal</x:v>
      </x:c>
      <x:c r="U166" s="46" t="str">
        <x:v>DÜŞÜK</x:v>
      </x:c>
      <x:c r="V166" s="46" t="str"/>
      <x:c r="W166" s="50" t="str">
        <x:v>650 kg/m³ üzeri genel AAC sınıfı; seçili üretici standardı/testiyle doğrulanmalıdır.</x:v>
      </x:c>
    </x:row>
    <x:row r="167">
      <x:c r="A167" s="46" t="str">
        <x:v>AAC-D700-T175</x:v>
      </x:c>
      <x:c r="B167" s="46" t="str">
        <x:v>AAC / Gazbeton</x:v>
      </x:c>
      <x:c r="C167" s="46" t="str">
        <x:v>Nominal kuru yoğunluk sınıfı 700 kg/m³</x:v>
      </x:c>
      <x:c r="D167" s="46" t="str">
        <x:v>GENERIC</x:v>
      </x:c>
      <x:c r="E167" s="46" t="str">
        <x:v>AAC D700</x:v>
      </x:c>
      <x:c r="F167" s="70" t="str">
        <x:v>ENGINEERING_EXTRAPOLATION</x:v>
      </x:c>
      <x:c r="G167" s="54" t="n">
        <x:v>175</x:v>
      </x:c>
      <x:c r="H167" s="54" t="n">
        <x:v>700</x:v>
      </x:c>
      <x:c r="I167" s="74" t="n">
        <x:f>IF(OR(G167="",H167=""),"",G167/1000*H167)</x:f>
        <x:v>122.49999999999999</x:v>
      </x:c>
      <x:c r="J167" s="75" t="n">
        <x:v>3.5</x:v>
      </x:c>
      <x:c r="K167" s="75" t="n">
        <x:v>0.2</x:v>
      </x:c>
      <x:c r="L167" s="75" t="n">
        <x:v>0.025</x:v>
      </x:c>
      <x:c r="M167" s="75" t="n">
        <x:f>IF(OR(J167="",K167=""),"",J167/(2*(1+K167)))</x:f>
        <x:v>1.4583333333333335</x:v>
      </x:c>
      <x:c r="N167" s="76" t="n">
        <x:f>IF(OR(J167="",H167="",K167=""),"",SQRT(J167*1000000000*(1-K167)/(H167*(1+K167)*(1-2*K167))))</x:f>
        <x:v>2357.0226039551585</x:v>
      </x:c>
      <x:c r="O167" s="75" t="n">
        <x:f>IF(OR(H167="",N167=""),"",H167*N167/1000000)</x:f>
        <x:v>1.6499158227686108</x:v>
      </x:c>
      <x:c r="P167" s="74" t="n">
        <x:f>IF(OR(J167="",G167="",K167=""),"",J167*1000000000*(G167/1000)^3/(12*(1-K167^2)))</x:f>
        <x:v>1628282.3350694443</x:v>
      </x:c>
      <x:c r="Q167" s="76" t="n">
        <x:f>IF(OR(I167="",P167=""),"",343.2^2/(2*PI())*SQRT(I167/P167))</x:f>
        <x:v>162.59900313462896</x:v>
      </x:c>
      <x:c r="R167" s="58" t="n">
        <x:v>7.2</x:v>
      </x:c>
      <x:c r="S167" s="62" t="n">
        <x:v>0.175</x:v>
      </x:c>
      <x:c r="T167" s="46" t="str">
        <x:v>20 °C / kuru nominal</x:v>
      </x:c>
      <x:c r="U167" s="46" t="str">
        <x:v>DÜŞÜK</x:v>
      </x:c>
      <x:c r="V167" s="46" t="str"/>
      <x:c r="W167" s="50" t="str">
        <x:v>650 kg/m³ üzeri genel AAC sınıfı; seçili üretici standardı/testiyle doğrulanmalıdır.</x:v>
      </x:c>
    </x:row>
    <x:row r="168">
      <x:c r="A168" s="46" t="str">
        <x:v>AAC-D700-T200</x:v>
      </x:c>
      <x:c r="B168" s="46" t="str">
        <x:v>AAC / Gazbeton</x:v>
      </x:c>
      <x:c r="C168" s="46" t="str">
        <x:v>Nominal kuru yoğunluk sınıfı 700 kg/m³</x:v>
      </x:c>
      <x:c r="D168" s="46" t="str">
        <x:v>GENERIC</x:v>
      </x:c>
      <x:c r="E168" s="46" t="str">
        <x:v>AAC D700</x:v>
      </x:c>
      <x:c r="F168" s="70" t="str">
        <x:v>ENGINEERING_EXTRAPOLATION</x:v>
      </x:c>
      <x:c r="G168" s="54" t="n">
        <x:v>200</x:v>
      </x:c>
      <x:c r="H168" s="54" t="n">
        <x:v>700</x:v>
      </x:c>
      <x:c r="I168" s="74" t="n">
        <x:f>IF(OR(G168="",H168=""),"",G168/1000*H168)</x:f>
        <x:v>140</x:v>
      </x:c>
      <x:c r="J168" s="75" t="n">
        <x:v>3.5</x:v>
      </x:c>
      <x:c r="K168" s="75" t="n">
        <x:v>0.2</x:v>
      </x:c>
      <x:c r="L168" s="75" t="n">
        <x:v>0.025</x:v>
      </x:c>
      <x:c r="M168" s="75" t="n">
        <x:f>IF(OR(J168="",K168=""),"",J168/(2*(1+K168)))</x:f>
        <x:v>1.4583333333333335</x:v>
      </x:c>
      <x:c r="N168" s="76" t="n">
        <x:f>IF(OR(J168="",H168="",K168=""),"",SQRT(J168*1000000000*(1-K168)/(H168*(1+K168)*(1-2*K168))))</x:f>
        <x:v>2357.0226039551585</x:v>
      </x:c>
      <x:c r="O168" s="75" t="n">
        <x:f>IF(OR(H168="",N168=""),"",H168*N168/1000000)</x:f>
        <x:v>1.6499158227686108</x:v>
      </x:c>
      <x:c r="P168" s="74" t="n">
        <x:f>IF(OR(J168="",G168="",K168=""),"",J168*1000000000*(G168/1000)^3/(12*(1-K168^2)))</x:f>
        <x:v>2430555.5555555564</x:v>
      </x:c>
      <x:c r="Q168" s="76" t="n">
        <x:f>IF(OR(I168="",P168=""),"",343.2^2/(2*PI())*SQRT(I168/P168))</x:f>
        <x:v>142.27412774280032</x:v>
      </x:c>
      <x:c r="R168" s="58" t="n">
        <x:v>7.2</x:v>
      </x:c>
      <x:c r="S168" s="62" t="n">
        <x:v>0.175</x:v>
      </x:c>
      <x:c r="T168" s="46" t="str">
        <x:v>20 °C / kuru nominal</x:v>
      </x:c>
      <x:c r="U168" s="46" t="str">
        <x:v>DÜŞÜK</x:v>
      </x:c>
      <x:c r="V168" s="46" t="str"/>
      <x:c r="W168" s="50" t="str">
        <x:v>650 kg/m³ üzeri genel AAC sınıfı; seçili üretici standardı/testiyle doğrulanmalıdır.</x:v>
      </x:c>
    </x:row>
    <x:row r="169">
      <x:c r="A169" s="46" t="str">
        <x:v>AAC-D700-T225</x:v>
      </x:c>
      <x:c r="B169" s="46" t="str">
        <x:v>AAC / Gazbeton</x:v>
      </x:c>
      <x:c r="C169" s="46" t="str">
        <x:v>Nominal kuru yoğunluk sınıfı 700 kg/m³</x:v>
      </x:c>
      <x:c r="D169" s="46" t="str">
        <x:v>GENERIC</x:v>
      </x:c>
      <x:c r="E169" s="46" t="str">
        <x:v>AAC D700</x:v>
      </x:c>
      <x:c r="F169" s="70" t="str">
        <x:v>ENGINEERING_EXTRAPOLATION</x:v>
      </x:c>
      <x:c r="G169" s="54" t="n">
        <x:v>225</x:v>
      </x:c>
      <x:c r="H169" s="54" t="n">
        <x:v>700</x:v>
      </x:c>
      <x:c r="I169" s="74" t="n">
        <x:f>IF(OR(G169="",H169=""),"",G169/1000*H169)</x:f>
        <x:v>157.5</x:v>
      </x:c>
      <x:c r="J169" s="75" t="n">
        <x:v>3.5</x:v>
      </x:c>
      <x:c r="K169" s="75" t="n">
        <x:v>0.2</x:v>
      </x:c>
      <x:c r="L169" s="75" t="n">
        <x:v>0.025</x:v>
      </x:c>
      <x:c r="M169" s="75" t="n">
        <x:f>IF(OR(J169="",K169=""),"",J169/(2*(1+K169)))</x:f>
        <x:v>1.4583333333333335</x:v>
      </x:c>
      <x:c r="N169" s="76" t="n">
        <x:f>IF(OR(J169="",H169="",K169=""),"",SQRT(J169*1000000000*(1-K169)/(H169*(1+K169)*(1-2*K169))))</x:f>
        <x:v>2357.0226039551585</x:v>
      </x:c>
      <x:c r="O169" s="75" t="n">
        <x:f>IF(OR(H169="",N169=""),"",H169*N169/1000000)</x:f>
        <x:v>1.6499158227686108</x:v>
      </x:c>
      <x:c r="P169" s="74" t="n">
        <x:f>IF(OR(J169="",G169="",K169=""),"",J169*1000000000*(G169/1000)^3/(12*(1-K169^2)))</x:f>
        <x:v>3460693.359375001</x:v>
      </x:c>
      <x:c r="Q169" s="76" t="n">
        <x:f>IF(OR(I169="",P169=""),"",343.2^2/(2*PI())*SQRT(I169/P169))</x:f>
        <x:v>126.46589132693363</x:v>
      </x:c>
      <x:c r="R169" s="58" t="n">
        <x:v>7.2</x:v>
      </x:c>
      <x:c r="S169" s="62" t="n">
        <x:v>0.175</x:v>
      </x:c>
      <x:c r="T169" s="46" t="str">
        <x:v>20 °C / kuru nominal</x:v>
      </x:c>
      <x:c r="U169" s="46" t="str">
        <x:v>DÜŞÜK</x:v>
      </x:c>
      <x:c r="V169" s="46" t="str"/>
      <x:c r="W169" s="50" t="str">
        <x:v>650 kg/m³ üzeri genel AAC sınıfı; seçili üretici standardı/testiyle doğrulanmalıdır.</x:v>
      </x:c>
    </x:row>
    <x:row r="170">
      <x:c r="A170" s="46" t="str">
        <x:v>AAC-D700-T250</x:v>
      </x:c>
      <x:c r="B170" s="46" t="str">
        <x:v>AAC / Gazbeton</x:v>
      </x:c>
      <x:c r="C170" s="46" t="str">
        <x:v>Nominal kuru yoğunluk sınıfı 700 kg/m³</x:v>
      </x:c>
      <x:c r="D170" s="46" t="str">
        <x:v>GENERIC</x:v>
      </x:c>
      <x:c r="E170" s="46" t="str">
        <x:v>AAC D700</x:v>
      </x:c>
      <x:c r="F170" s="70" t="str">
        <x:v>ENGINEERING_EXTRAPOLATION</x:v>
      </x:c>
      <x:c r="G170" s="54" t="n">
        <x:v>250</x:v>
      </x:c>
      <x:c r="H170" s="54" t="n">
        <x:v>700</x:v>
      </x:c>
      <x:c r="I170" s="74" t="n">
        <x:f>IF(OR(G170="",H170=""),"",G170/1000*H170)</x:f>
        <x:v>175</x:v>
      </x:c>
      <x:c r="J170" s="75" t="n">
        <x:v>3.5</x:v>
      </x:c>
      <x:c r="K170" s="75" t="n">
        <x:v>0.2</x:v>
      </x:c>
      <x:c r="L170" s="75" t="n">
        <x:v>0.025</x:v>
      </x:c>
      <x:c r="M170" s="75" t="n">
        <x:f>IF(OR(J170="",K170=""),"",J170/(2*(1+K170)))</x:f>
        <x:v>1.4583333333333335</x:v>
      </x:c>
      <x:c r="N170" s="76" t="n">
        <x:f>IF(OR(J170="",H170="",K170=""),"",SQRT(J170*1000000000*(1-K170)/(H170*(1+K170)*(1-2*K170))))</x:f>
        <x:v>2357.0226039551585</x:v>
      </x:c>
      <x:c r="O170" s="75" t="n">
        <x:f>IF(OR(H170="",N170=""),"",H170*N170/1000000)</x:f>
        <x:v>1.6499158227686108</x:v>
      </x:c>
      <x:c r="P170" s="74" t="n">
        <x:f>IF(OR(J170="",G170="",K170=""),"",J170*1000000000*(G170/1000)^3/(12*(1-K170^2)))</x:f>
        <x:v>4747178.819444445</x:v>
      </x:c>
      <x:c r="Q170" s="76" t="n">
        <x:f>IF(OR(I170="",P170=""),"",343.2^2/(2*PI())*SQRT(I170/P170))</x:f>
        <x:v>113.81930219424028</x:v>
      </x:c>
      <x:c r="R170" s="58" t="n">
        <x:v>7.2</x:v>
      </x:c>
      <x:c r="S170" s="62" t="n">
        <x:v>0.175</x:v>
      </x:c>
      <x:c r="T170" s="46" t="str">
        <x:v>20 °C / kuru nominal</x:v>
      </x:c>
      <x:c r="U170" s="46" t="str">
        <x:v>DÜŞÜK</x:v>
      </x:c>
      <x:c r="V170" s="46" t="str"/>
      <x:c r="W170" s="50" t="str">
        <x:v>650 kg/m³ üzeri genel AAC sınıfı; seçili üretici standardı/testiyle doğrulanmalıdır.</x:v>
      </x:c>
    </x:row>
    <x:row r="171">
      <x:c r="A171" s="46" t="str">
        <x:v>AAC-D700-T300</x:v>
      </x:c>
      <x:c r="B171" s="46" t="str">
        <x:v>AAC / Gazbeton</x:v>
      </x:c>
      <x:c r="C171" s="46" t="str">
        <x:v>Nominal kuru yoğunluk sınıfı 700 kg/m³</x:v>
      </x:c>
      <x:c r="D171" s="46" t="str">
        <x:v>GENERIC</x:v>
      </x:c>
      <x:c r="E171" s="46" t="str">
        <x:v>AAC D700</x:v>
      </x:c>
      <x:c r="F171" s="70" t="str">
        <x:v>ENGINEERING_EXTRAPOLATION</x:v>
      </x:c>
      <x:c r="G171" s="54" t="n">
        <x:v>300</x:v>
      </x:c>
      <x:c r="H171" s="54" t="n">
        <x:v>700</x:v>
      </x:c>
      <x:c r="I171" s="74" t="n">
        <x:f>IF(OR(G171="",H171=""),"",G171/1000*H171)</x:f>
        <x:v>210</x:v>
      </x:c>
      <x:c r="J171" s="75" t="n">
        <x:v>3.5</x:v>
      </x:c>
      <x:c r="K171" s="75" t="n">
        <x:v>0.2</x:v>
      </x:c>
      <x:c r="L171" s="75" t="n">
        <x:v>0.025</x:v>
      </x:c>
      <x:c r="M171" s="75" t="n">
        <x:f>IF(OR(J171="",K171=""),"",J171/(2*(1+K171)))</x:f>
        <x:v>1.4583333333333335</x:v>
      </x:c>
      <x:c r="N171" s="76" t="n">
        <x:f>IF(OR(J171="",H171="",K171=""),"",SQRT(J171*1000000000*(1-K171)/(H171*(1+K171)*(1-2*K171))))</x:f>
        <x:v>2357.0226039551585</x:v>
      </x:c>
      <x:c r="O171" s="75" t="n">
        <x:f>IF(OR(H171="",N171=""),"",H171*N171/1000000)</x:f>
        <x:v>1.6499158227686108</x:v>
      </x:c>
      <x:c r="P171" s="74" t="n">
        <x:f>IF(OR(J171="",G171="",K171=""),"",J171*1000000000*(G171/1000)^3/(12*(1-K171^2)))</x:f>
        <x:v>8203125</x:v>
      </x:c>
      <x:c r="Q171" s="76" t="n">
        <x:f>IF(OR(I171="",P171=""),"",343.2^2/(2*PI())*SQRT(I171/P171))</x:f>
        <x:v>94.84941849520024</x:v>
      </x:c>
      <x:c r="R171" s="58" t="n">
        <x:v>7.2</x:v>
      </x:c>
      <x:c r="S171" s="62" t="n">
        <x:v>0.175</x:v>
      </x:c>
      <x:c r="T171" s="46" t="str">
        <x:v>20 °C / kuru nominal</x:v>
      </x:c>
      <x:c r="U171" s="46" t="str">
        <x:v>DÜŞÜK</x:v>
      </x:c>
      <x:c r="V171" s="46" t="str"/>
      <x:c r="W171" s="50" t="str">
        <x:v>650 kg/m³ üzeri genel AAC sınıfı; seçili üretici standardı/testiyle doğrulanmalıdır.</x:v>
      </x:c>
    </x:row>
    <x:row r="172">
      <x:c r="A172" s="46" t="str">
        <x:v>AAC-D700-T375</x:v>
      </x:c>
      <x:c r="B172" s="46" t="str">
        <x:v>AAC / Gazbeton</x:v>
      </x:c>
      <x:c r="C172" s="46" t="str">
        <x:v>Nominal kuru yoğunluk sınıfı 700 kg/m³</x:v>
      </x:c>
      <x:c r="D172" s="46" t="str">
        <x:v>GENERIC</x:v>
      </x:c>
      <x:c r="E172" s="46" t="str">
        <x:v>AAC D700</x:v>
      </x:c>
      <x:c r="F172" s="70" t="str">
        <x:v>ENGINEERING_EXTRAPOLATION</x:v>
      </x:c>
      <x:c r="G172" s="54" t="n">
        <x:v>375</x:v>
      </x:c>
      <x:c r="H172" s="54" t="n">
        <x:v>700</x:v>
      </x:c>
      <x:c r="I172" s="74" t="n">
        <x:f>IF(OR(G172="",H172=""),"",G172/1000*H172)</x:f>
        <x:v>262.5</x:v>
      </x:c>
      <x:c r="J172" s="75" t="n">
        <x:v>3.5</x:v>
      </x:c>
      <x:c r="K172" s="75" t="n">
        <x:v>0.2</x:v>
      </x:c>
      <x:c r="L172" s="75" t="n">
        <x:v>0.025</x:v>
      </x:c>
      <x:c r="M172" s="75" t="n">
        <x:f>IF(OR(J172="",K172=""),"",J172/(2*(1+K172)))</x:f>
        <x:v>1.4583333333333335</x:v>
      </x:c>
      <x:c r="N172" s="76" t="n">
        <x:f>IF(OR(J172="",H172="",K172=""),"",SQRT(J172*1000000000*(1-K172)/(H172*(1+K172)*(1-2*K172))))</x:f>
        <x:v>2357.0226039551585</x:v>
      </x:c>
      <x:c r="O172" s="75" t="n">
        <x:f>IF(OR(H172="",N172=""),"",H172*N172/1000000)</x:f>
        <x:v>1.6499158227686108</x:v>
      </x:c>
      <x:c r="P172" s="74" t="n">
        <x:f>IF(OR(J172="",G172="",K172=""),"",J172*1000000000*(G172/1000)^3/(12*(1-K172^2)))</x:f>
        <x:v>16021728.515625</x:v>
      </x:c>
      <x:c r="Q172" s="76" t="n">
        <x:f>IF(OR(I172="",P172=""),"",343.2^2/(2*PI())*SQRT(I172/P172))</x:f>
        <x:v>75.87953479616019</x:v>
      </x:c>
      <x:c r="R172" s="58" t="n">
        <x:v>7.2</x:v>
      </x:c>
      <x:c r="S172" s="62" t="n">
        <x:v>0.175</x:v>
      </x:c>
      <x:c r="T172" s="46" t="str">
        <x:v>20 °C / kuru nominal</x:v>
      </x:c>
      <x:c r="U172" s="46" t="str">
        <x:v>DÜŞÜK</x:v>
      </x:c>
      <x:c r="V172" s="46" t="str"/>
      <x:c r="W172" s="50" t="str">
        <x:v>650 kg/m³ üzeri genel AAC sınıfı; seçili üretici standardı/testiyle doğrulanmalıdır.</x:v>
      </x:c>
    </x:row>
    <x:row r="173">
      <x:c r="A173" s="46" t="str">
        <x:v>AAC-D700-T450</x:v>
      </x:c>
      <x:c r="B173" s="46" t="str">
        <x:v>AAC / Gazbeton</x:v>
      </x:c>
      <x:c r="C173" s="46" t="str">
        <x:v>Nominal kuru yoğunluk sınıfı 700 kg/m³</x:v>
      </x:c>
      <x:c r="D173" s="46" t="str">
        <x:v>GENERIC</x:v>
      </x:c>
      <x:c r="E173" s="46" t="str">
        <x:v>AAC D700</x:v>
      </x:c>
      <x:c r="F173" s="70" t="str">
        <x:v>ENGINEERING_EXTRAPOLATION</x:v>
      </x:c>
      <x:c r="G173" s="54" t="n">
        <x:v>450</x:v>
      </x:c>
      <x:c r="H173" s="54" t="n">
        <x:v>700</x:v>
      </x:c>
      <x:c r="I173" s="74" t="n">
        <x:f>IF(OR(G173="",H173=""),"",G173/1000*H173)</x:f>
        <x:v>315</x:v>
      </x:c>
      <x:c r="J173" s="75" t="n">
        <x:v>3.5</x:v>
      </x:c>
      <x:c r="K173" s="75" t="n">
        <x:v>0.2</x:v>
      </x:c>
      <x:c r="L173" s="75" t="n">
        <x:v>0.025</x:v>
      </x:c>
      <x:c r="M173" s="75" t="n">
        <x:f>IF(OR(J173="",K173=""),"",J173/(2*(1+K173)))</x:f>
        <x:v>1.4583333333333335</x:v>
      </x:c>
      <x:c r="N173" s="76" t="n">
        <x:f>IF(OR(J173="",H173="",K173=""),"",SQRT(J173*1000000000*(1-K173)/(H173*(1+K173)*(1-2*K173))))</x:f>
        <x:v>2357.0226039551585</x:v>
      </x:c>
      <x:c r="O173" s="75" t="n">
        <x:f>IF(OR(H173="",N173=""),"",H173*N173/1000000)</x:f>
        <x:v>1.6499158227686108</x:v>
      </x:c>
      <x:c r="P173" s="74" t="n">
        <x:f>IF(OR(J173="",G173="",K173=""),"",J173*1000000000*(G173/1000)^3/(12*(1-K173^2)))</x:f>
        <x:v>27685546.875000007</x:v>
      </x:c>
      <x:c r="Q173" s="76" t="n">
        <x:f>IF(OR(I173="",P173=""),"",343.2^2/(2*PI())*SQRT(I173/P173))</x:f>
        <x:v>63.232945663466815</x:v>
      </x:c>
      <x:c r="R173" s="58" t="n">
        <x:v>7.2</x:v>
      </x:c>
      <x:c r="S173" s="62" t="n">
        <x:v>0.175</x:v>
      </x:c>
      <x:c r="T173" s="46" t="str">
        <x:v>20 °C / kuru nominal</x:v>
      </x:c>
      <x:c r="U173" s="46" t="str">
        <x:v>DÜŞÜK</x:v>
      </x:c>
      <x:c r="V173" s="46" t="str"/>
      <x:c r="W173" s="50" t="str">
        <x:v>650 kg/m³ üzeri genel AAC sınıfı; seçili üretici standardı/testiyle doğrulanmalıdır.</x:v>
      </x:c>
    </x:row>
    <x:row r="174">
      <x:c r="A174" s="46" t="str">
        <x:v>AAC-D700-T500</x:v>
      </x:c>
      <x:c r="B174" s="46" t="str">
        <x:v>AAC / Gazbeton</x:v>
      </x:c>
      <x:c r="C174" s="46" t="str">
        <x:v>Nominal kuru yoğunluk sınıfı 700 kg/m³</x:v>
      </x:c>
      <x:c r="D174" s="46" t="str">
        <x:v>GENERIC</x:v>
      </x:c>
      <x:c r="E174" s="46" t="str">
        <x:v>AAC D700</x:v>
      </x:c>
      <x:c r="F174" s="70" t="str">
        <x:v>ENGINEERING_EXTRAPOLATION</x:v>
      </x:c>
      <x:c r="G174" s="54" t="n">
        <x:v>500</x:v>
      </x:c>
      <x:c r="H174" s="54" t="n">
        <x:v>700</x:v>
      </x:c>
      <x:c r="I174" s="74" t="n">
        <x:f>IF(OR(G174="",H174=""),"",G174/1000*H174)</x:f>
        <x:v>350</x:v>
      </x:c>
      <x:c r="J174" s="75" t="n">
        <x:v>3.5</x:v>
      </x:c>
      <x:c r="K174" s="75" t="n">
        <x:v>0.2</x:v>
      </x:c>
      <x:c r="L174" s="75" t="n">
        <x:v>0.025</x:v>
      </x:c>
      <x:c r="M174" s="75" t="n">
        <x:f>IF(OR(J174="",K174=""),"",J174/(2*(1+K174)))</x:f>
        <x:v>1.4583333333333335</x:v>
      </x:c>
      <x:c r="N174" s="76" t="n">
        <x:f>IF(OR(J174="",H174="",K174=""),"",SQRT(J174*1000000000*(1-K174)/(H174*(1+K174)*(1-2*K174))))</x:f>
        <x:v>2357.0226039551585</x:v>
      </x:c>
      <x:c r="O174" s="75" t="n">
        <x:f>IF(OR(H174="",N174=""),"",H174*N174/1000000)</x:f>
        <x:v>1.6499158227686108</x:v>
      </x:c>
      <x:c r="P174" s="74" t="n">
        <x:f>IF(OR(J174="",G174="",K174=""),"",J174*1000000000*(G174/1000)^3/(12*(1-K174^2)))</x:f>
        <x:v>37977430.55555556</x:v>
      </x:c>
      <x:c r="Q174" s="76" t="n">
        <x:f>IF(OR(I174="",P174=""),"",343.2^2/(2*PI())*SQRT(I174/P174))</x:f>
        <x:v>56.90965109712014</x:v>
      </x:c>
      <x:c r="R174" s="58" t="n">
        <x:v>7.2</x:v>
      </x:c>
      <x:c r="S174" s="62" t="n">
        <x:v>0.175</x:v>
      </x:c>
      <x:c r="T174" s="46" t="str">
        <x:v>20 °C / kuru nominal</x:v>
      </x:c>
      <x:c r="U174" s="46" t="str">
        <x:v>DÜŞÜK</x:v>
      </x:c>
      <x:c r="V174" s="46" t="str"/>
      <x:c r="W174" s="50" t="str">
        <x:v>650 kg/m³ üzeri genel AAC sınıfı; seçili üretici standardı/testiyle doğrulanmalıdır.</x:v>
      </x:c>
    </x:row>
    <x:row r="175">
      <x:c r="A175" s="46" t="str">
        <x:v>AAC-D750-T50</x:v>
      </x:c>
      <x:c r="B175" s="46" t="str">
        <x:v>AAC / Gazbeton</x:v>
      </x:c>
      <x:c r="C175" s="46" t="str">
        <x:v>Nominal kuru yoğunluk sınıfı 750 kg/m³</x:v>
      </x:c>
      <x:c r="D175" s="46" t="str">
        <x:v>GENERIC</x:v>
      </x:c>
      <x:c r="E175" s="46" t="str">
        <x:v>AAC D750</x:v>
      </x:c>
      <x:c r="F175" s="70" t="str">
        <x:v>ENGINEERING_EXTRAPOLATION</x:v>
      </x:c>
      <x:c r="G175" s="54" t="n">
        <x:v>50</x:v>
      </x:c>
      <x:c r="H175" s="54" t="n">
        <x:v>750</x:v>
      </x:c>
      <x:c r="I175" s="74" t="n">
        <x:f>IF(OR(G175="",H175=""),"",G175/1000*H175)</x:f>
        <x:v>37.5</x:v>
      </x:c>
      <x:c r="J175" s="75" t="n">
        <x:v>3.75</x:v>
      </x:c>
      <x:c r="K175" s="75" t="n">
        <x:v>0.2</x:v>
      </x:c>
      <x:c r="L175" s="75" t="n">
        <x:v>0.025</x:v>
      </x:c>
      <x:c r="M175" s="75" t="n">
        <x:f>IF(OR(J175="",K175=""),"",J175/(2*(1+K175)))</x:f>
        <x:v>1.5625</x:v>
      </x:c>
      <x:c r="N175" s="76" t="n">
        <x:f>IF(OR(J175="",H175="",K175=""),"",SQRT(J175*1000000000*(1-K175)/(H175*(1+K175)*(1-2*K175))))</x:f>
        <x:v>2357.0226039551585</x:v>
      </x:c>
      <x:c r="O175" s="75" t="n">
        <x:f>IF(OR(H175="",N175=""),"",H175*N175/1000000)</x:f>
        <x:v>1.767766952966369</x:v>
      </x:c>
      <x:c r="P175" s="74" t="n">
        <x:f>IF(OR(J175="",G175="",K175=""),"",J175*1000000000*(G175/1000)^3/(12*(1-K175^2)))</x:f>
        <x:v>40690.10416666668</x:v>
      </x:c>
      <x:c r="Q175" s="76" t="n">
        <x:f>IF(OR(I175="",P175=""),"",343.2^2/(2*PI())*SQRT(I175/P175))</x:f>
        <x:v>569.0965109712014</x:v>
      </x:c>
      <x:c r="R175" s="58" t="n">
        <x:v>8</x:v>
      </x:c>
      <x:c r="S175" s="62" t="n">
        <x:v>0.19</x:v>
      </x:c>
      <x:c r="T175" s="46" t="str">
        <x:v>20 °C / kuru nominal</x:v>
      </x:c>
      <x:c r="U175" s="46" t="str">
        <x:v>DÜŞÜK</x:v>
      </x:c>
      <x:c r="V175" s="46" t="str"/>
      <x:c r="W175" s="50" t="str">
        <x:v>650 kg/m³ üzeri genel AAC sınıfı; seçili üretici standardı/testiyle doğrulanmalıdır.</x:v>
      </x:c>
    </x:row>
    <x:row r="176">
      <x:c r="A176" s="46" t="str">
        <x:v>AAC-D750-T75</x:v>
      </x:c>
      <x:c r="B176" s="46" t="str">
        <x:v>AAC / Gazbeton</x:v>
      </x:c>
      <x:c r="C176" s="46" t="str">
        <x:v>Nominal kuru yoğunluk sınıfı 750 kg/m³</x:v>
      </x:c>
      <x:c r="D176" s="46" t="str">
        <x:v>GENERIC</x:v>
      </x:c>
      <x:c r="E176" s="46" t="str">
        <x:v>AAC D750</x:v>
      </x:c>
      <x:c r="F176" s="70" t="str">
        <x:v>ENGINEERING_EXTRAPOLATION</x:v>
      </x:c>
      <x:c r="G176" s="54" t="n">
        <x:v>75</x:v>
      </x:c>
      <x:c r="H176" s="54" t="n">
        <x:v>750</x:v>
      </x:c>
      <x:c r="I176" s="74" t="n">
        <x:f>IF(OR(G176="",H176=""),"",G176/1000*H176)</x:f>
        <x:v>56.25</x:v>
      </x:c>
      <x:c r="J176" s="75" t="n">
        <x:v>3.75</x:v>
      </x:c>
      <x:c r="K176" s="75" t="n">
        <x:v>0.2</x:v>
      </x:c>
      <x:c r="L176" s="75" t="n">
        <x:v>0.025</x:v>
      </x:c>
      <x:c r="M176" s="75" t="n">
        <x:f>IF(OR(J176="",K176=""),"",J176/(2*(1+K176)))</x:f>
        <x:v>1.5625</x:v>
      </x:c>
      <x:c r="N176" s="76" t="n">
        <x:f>IF(OR(J176="",H176="",K176=""),"",SQRT(J176*1000000000*(1-K176)/(H176*(1+K176)*(1-2*K176))))</x:f>
        <x:v>2357.0226039551585</x:v>
      </x:c>
      <x:c r="O176" s="75" t="n">
        <x:f>IF(OR(H176="",N176=""),"",H176*N176/1000000)</x:f>
        <x:v>1.767766952966369</x:v>
      </x:c>
      <x:c r="P176" s="74" t="n">
        <x:f>IF(OR(J176="",G176="",K176=""),"",J176*1000000000*(G176/1000)^3/(12*(1-K176^2)))</x:f>
        <x:v>137329.1015625</x:v>
      </x:c>
      <x:c r="Q176" s="76" t="n">
        <x:f>IF(OR(I176="",P176=""),"",343.2^2/(2*PI())*SQRT(I176/P176))</x:f>
        <x:v>379.39767398080096</x:v>
      </x:c>
      <x:c r="R176" s="58" t="n">
        <x:v>8</x:v>
      </x:c>
      <x:c r="S176" s="62" t="n">
        <x:v>0.19</x:v>
      </x:c>
      <x:c r="T176" s="46" t="str">
        <x:v>20 °C / kuru nominal</x:v>
      </x:c>
      <x:c r="U176" s="46" t="str">
        <x:v>DÜŞÜK</x:v>
      </x:c>
      <x:c r="V176" s="46" t="str"/>
      <x:c r="W176" s="50" t="str">
        <x:v>650 kg/m³ üzeri genel AAC sınıfı; seçili üretici standardı/testiyle doğrulanmalıdır.</x:v>
      </x:c>
    </x:row>
    <x:row r="177">
      <x:c r="A177" s="46" t="str">
        <x:v>AAC-D750-T100</x:v>
      </x:c>
      <x:c r="B177" s="46" t="str">
        <x:v>AAC / Gazbeton</x:v>
      </x:c>
      <x:c r="C177" s="46" t="str">
        <x:v>Nominal kuru yoğunluk sınıfı 750 kg/m³</x:v>
      </x:c>
      <x:c r="D177" s="46" t="str">
        <x:v>GENERIC</x:v>
      </x:c>
      <x:c r="E177" s="46" t="str">
        <x:v>AAC D750</x:v>
      </x:c>
      <x:c r="F177" s="70" t="str">
        <x:v>ENGINEERING_EXTRAPOLATION</x:v>
      </x:c>
      <x:c r="G177" s="54" t="n">
        <x:v>100</x:v>
      </x:c>
      <x:c r="H177" s="54" t="n">
        <x:v>750</x:v>
      </x:c>
      <x:c r="I177" s="74" t="n">
        <x:f>IF(OR(G177="",H177=""),"",G177/1000*H177)</x:f>
        <x:v>75</x:v>
      </x:c>
      <x:c r="J177" s="75" t="n">
        <x:v>3.75</x:v>
      </x:c>
      <x:c r="K177" s="75" t="n">
        <x:v>0.2</x:v>
      </x:c>
      <x:c r="L177" s="75" t="n">
        <x:v>0.025</x:v>
      </x:c>
      <x:c r="M177" s="75" t="n">
        <x:f>IF(OR(J177="",K177=""),"",J177/(2*(1+K177)))</x:f>
        <x:v>1.5625</x:v>
      </x:c>
      <x:c r="N177" s="76" t="n">
        <x:f>IF(OR(J177="",H177="",K177=""),"",SQRT(J177*1000000000*(1-K177)/(H177*(1+K177)*(1-2*K177))))</x:f>
        <x:v>2357.0226039551585</x:v>
      </x:c>
      <x:c r="O177" s="75" t="n">
        <x:f>IF(OR(H177="",N177=""),"",H177*N177/1000000)</x:f>
        <x:v>1.767766952966369</x:v>
      </x:c>
      <x:c r="P177" s="74" t="n">
        <x:f>IF(OR(J177="",G177="",K177=""),"",J177*1000000000*(G177/1000)^3/(12*(1-K177^2)))</x:f>
        <x:v>325520.83333333343</x:v>
      </x:c>
      <x:c r="Q177" s="76" t="n">
        <x:f>IF(OR(I177="",P177=""),"",343.2^2/(2*PI())*SQRT(I177/P177))</x:f>
        <x:v>284.5482554856007</x:v>
      </x:c>
      <x:c r="R177" s="58" t="n">
        <x:v>8</x:v>
      </x:c>
      <x:c r="S177" s="62" t="n">
        <x:v>0.19</x:v>
      </x:c>
      <x:c r="T177" s="46" t="str">
        <x:v>20 °C / kuru nominal</x:v>
      </x:c>
      <x:c r="U177" s="46" t="str">
        <x:v>DÜŞÜK</x:v>
      </x:c>
      <x:c r="V177" s="46" t="str"/>
      <x:c r="W177" s="50" t="str">
        <x:v>650 kg/m³ üzeri genel AAC sınıfı; seçili üretici standardı/testiyle doğrulanmalıdır.</x:v>
      </x:c>
    </x:row>
    <x:row r="178">
      <x:c r="A178" s="46" t="str">
        <x:v>AAC-D750-T125</x:v>
      </x:c>
      <x:c r="B178" s="46" t="str">
        <x:v>AAC / Gazbeton</x:v>
      </x:c>
      <x:c r="C178" s="46" t="str">
        <x:v>Nominal kuru yoğunluk sınıfı 750 kg/m³</x:v>
      </x:c>
      <x:c r="D178" s="46" t="str">
        <x:v>GENERIC</x:v>
      </x:c>
      <x:c r="E178" s="46" t="str">
        <x:v>AAC D750</x:v>
      </x:c>
      <x:c r="F178" s="70" t="str">
        <x:v>ENGINEERING_EXTRAPOLATION</x:v>
      </x:c>
      <x:c r="G178" s="54" t="n">
        <x:v>125</x:v>
      </x:c>
      <x:c r="H178" s="54" t="n">
        <x:v>750</x:v>
      </x:c>
      <x:c r="I178" s="74" t="n">
        <x:f>IF(OR(G178="",H178=""),"",G178/1000*H178)</x:f>
        <x:v>93.75</x:v>
      </x:c>
      <x:c r="J178" s="75" t="n">
        <x:v>3.75</x:v>
      </x:c>
      <x:c r="K178" s="75" t="n">
        <x:v>0.2</x:v>
      </x:c>
      <x:c r="L178" s="75" t="n">
        <x:v>0.025</x:v>
      </x:c>
      <x:c r="M178" s="75" t="n">
        <x:f>IF(OR(J178="",K178=""),"",J178/(2*(1+K178)))</x:f>
        <x:v>1.5625</x:v>
      </x:c>
      <x:c r="N178" s="76" t="n">
        <x:f>IF(OR(J178="",H178="",K178=""),"",SQRT(J178*1000000000*(1-K178)/(H178*(1+K178)*(1-2*K178))))</x:f>
        <x:v>2357.0226039551585</x:v>
      </x:c>
      <x:c r="O178" s="75" t="n">
        <x:f>IF(OR(H178="",N178=""),"",H178*N178/1000000)</x:f>
        <x:v>1.767766952966369</x:v>
      </x:c>
      <x:c r="P178" s="74" t="n">
        <x:f>IF(OR(J178="",G178="",K178=""),"",J178*1000000000*(G178/1000)^3/(12*(1-K178^2)))</x:f>
        <x:v>635782.8776041667</x:v>
      </x:c>
      <x:c r="Q178" s="76" t="n">
        <x:f>IF(OR(I178="",P178=""),"",343.2^2/(2*PI())*SQRT(I178/P178))</x:f>
        <x:v>227.63860438848056</x:v>
      </x:c>
      <x:c r="R178" s="58" t="n">
        <x:v>8</x:v>
      </x:c>
      <x:c r="S178" s="62" t="n">
        <x:v>0.19</x:v>
      </x:c>
      <x:c r="T178" s="46" t="str">
        <x:v>20 °C / kuru nominal</x:v>
      </x:c>
      <x:c r="U178" s="46" t="str">
        <x:v>DÜŞÜK</x:v>
      </x:c>
      <x:c r="V178" s="46" t="str"/>
      <x:c r="W178" s="50" t="str">
        <x:v>650 kg/m³ üzeri genel AAC sınıfı; seçili üretici standardı/testiyle doğrulanmalıdır.</x:v>
      </x:c>
    </x:row>
    <x:row r="179">
      <x:c r="A179" s="46" t="str">
        <x:v>AAC-D750-T150</x:v>
      </x:c>
      <x:c r="B179" s="46" t="str">
        <x:v>AAC / Gazbeton</x:v>
      </x:c>
      <x:c r="C179" s="46" t="str">
        <x:v>Nominal kuru yoğunluk sınıfı 750 kg/m³</x:v>
      </x:c>
      <x:c r="D179" s="46" t="str">
        <x:v>GENERIC</x:v>
      </x:c>
      <x:c r="E179" s="46" t="str">
        <x:v>AAC D750</x:v>
      </x:c>
      <x:c r="F179" s="70" t="str">
        <x:v>ENGINEERING_EXTRAPOLATION</x:v>
      </x:c>
      <x:c r="G179" s="54" t="n">
        <x:v>150</x:v>
      </x:c>
      <x:c r="H179" s="54" t="n">
        <x:v>750</x:v>
      </x:c>
      <x:c r="I179" s="74" t="n">
        <x:f>IF(OR(G179="",H179=""),"",G179/1000*H179)</x:f>
        <x:v>112.5</x:v>
      </x:c>
      <x:c r="J179" s="75" t="n">
        <x:v>3.75</x:v>
      </x:c>
      <x:c r="K179" s="75" t="n">
        <x:v>0.2</x:v>
      </x:c>
      <x:c r="L179" s="75" t="n">
        <x:v>0.025</x:v>
      </x:c>
      <x:c r="M179" s="75" t="n">
        <x:f>IF(OR(J179="",K179=""),"",J179/(2*(1+K179)))</x:f>
        <x:v>1.5625</x:v>
      </x:c>
      <x:c r="N179" s="76" t="n">
        <x:f>IF(OR(J179="",H179="",K179=""),"",SQRT(J179*1000000000*(1-K179)/(H179*(1+K179)*(1-2*K179))))</x:f>
        <x:v>2357.0226039551585</x:v>
      </x:c>
      <x:c r="O179" s="75" t="n">
        <x:f>IF(OR(H179="",N179=""),"",H179*N179/1000000)</x:f>
        <x:v>1.767766952966369</x:v>
      </x:c>
      <x:c r="P179" s="74" t="n">
        <x:f>IF(OR(J179="",G179="",K179=""),"",J179*1000000000*(G179/1000)^3/(12*(1-K179^2)))</x:f>
        <x:v>1098632.8125</x:v>
      </x:c>
      <x:c r="Q179" s="76" t="n">
        <x:f>IF(OR(I179="",P179=""),"",343.2^2/(2*PI())*SQRT(I179/P179))</x:f>
        <x:v>189.69883699040048</x:v>
      </x:c>
      <x:c r="R179" s="58" t="n">
        <x:v>8</x:v>
      </x:c>
      <x:c r="S179" s="62" t="n">
        <x:v>0.19</x:v>
      </x:c>
      <x:c r="T179" s="46" t="str">
        <x:v>20 °C / kuru nominal</x:v>
      </x:c>
      <x:c r="U179" s="46" t="str">
        <x:v>DÜŞÜK</x:v>
      </x:c>
      <x:c r="V179" s="46" t="str"/>
      <x:c r="W179" s="50" t="str">
        <x:v>650 kg/m³ üzeri genel AAC sınıfı; seçili üretici standardı/testiyle doğrulanmalıdır.</x:v>
      </x:c>
    </x:row>
    <x:row r="180">
      <x:c r="A180" s="46" t="str">
        <x:v>AAC-D750-T175</x:v>
      </x:c>
      <x:c r="B180" s="46" t="str">
        <x:v>AAC / Gazbeton</x:v>
      </x:c>
      <x:c r="C180" s="46" t="str">
        <x:v>Nominal kuru yoğunluk sınıfı 750 kg/m³</x:v>
      </x:c>
      <x:c r="D180" s="46" t="str">
        <x:v>GENERIC</x:v>
      </x:c>
      <x:c r="E180" s="46" t="str">
        <x:v>AAC D750</x:v>
      </x:c>
      <x:c r="F180" s="70" t="str">
        <x:v>ENGINEERING_EXTRAPOLATION</x:v>
      </x:c>
      <x:c r="G180" s="54" t="n">
        <x:v>175</x:v>
      </x:c>
      <x:c r="H180" s="54" t="n">
        <x:v>750</x:v>
      </x:c>
      <x:c r="I180" s="74" t="n">
        <x:f>IF(OR(G180="",H180=""),"",G180/1000*H180)</x:f>
        <x:v>131.25</x:v>
      </x:c>
      <x:c r="J180" s="75" t="n">
        <x:v>3.75</x:v>
      </x:c>
      <x:c r="K180" s="75" t="n">
        <x:v>0.2</x:v>
      </x:c>
      <x:c r="L180" s="75" t="n">
        <x:v>0.025</x:v>
      </x:c>
      <x:c r="M180" s="75" t="n">
        <x:f>IF(OR(J180="",K180=""),"",J180/(2*(1+K180)))</x:f>
        <x:v>1.5625</x:v>
      </x:c>
      <x:c r="N180" s="76" t="n">
        <x:f>IF(OR(J180="",H180="",K180=""),"",SQRT(J180*1000000000*(1-K180)/(H180*(1+K180)*(1-2*K180))))</x:f>
        <x:v>2357.0226039551585</x:v>
      </x:c>
      <x:c r="O180" s="75" t="n">
        <x:f>IF(OR(H180="",N180=""),"",H180*N180/1000000)</x:f>
        <x:v>1.767766952966369</x:v>
      </x:c>
      <x:c r="P180" s="74" t="n">
        <x:f>IF(OR(J180="",G180="",K180=""),"",J180*1000000000*(G180/1000)^3/(12*(1-K180^2)))</x:f>
        <x:v>1744588.216145833</x:v>
      </x:c>
      <x:c r="Q180" s="76" t="n">
        <x:f>IF(OR(I180="",P180=""),"",343.2^2/(2*PI())*SQRT(I180/P180))</x:f>
        <x:v>162.599003134629</x:v>
      </x:c>
      <x:c r="R180" s="58" t="n">
        <x:v>8</x:v>
      </x:c>
      <x:c r="S180" s="62" t="n">
        <x:v>0.19</x:v>
      </x:c>
      <x:c r="T180" s="46" t="str">
        <x:v>20 °C / kuru nominal</x:v>
      </x:c>
      <x:c r="U180" s="46" t="str">
        <x:v>DÜŞÜK</x:v>
      </x:c>
      <x:c r="V180" s="46" t="str"/>
      <x:c r="W180" s="50" t="str">
        <x:v>650 kg/m³ üzeri genel AAC sınıfı; seçili üretici standardı/testiyle doğrulanmalıdır.</x:v>
      </x:c>
    </x:row>
    <x:row r="181">
      <x:c r="A181" s="46" t="str">
        <x:v>AAC-D750-T200</x:v>
      </x:c>
      <x:c r="B181" s="46" t="str">
        <x:v>AAC / Gazbeton</x:v>
      </x:c>
      <x:c r="C181" s="46" t="str">
        <x:v>Nominal kuru yoğunluk sınıfı 750 kg/m³</x:v>
      </x:c>
      <x:c r="D181" s="46" t="str">
        <x:v>GENERIC</x:v>
      </x:c>
      <x:c r="E181" s="46" t="str">
        <x:v>AAC D750</x:v>
      </x:c>
      <x:c r="F181" s="70" t="str">
        <x:v>ENGINEERING_EXTRAPOLATION</x:v>
      </x:c>
      <x:c r="G181" s="54" t="n">
        <x:v>200</x:v>
      </x:c>
      <x:c r="H181" s="54" t="n">
        <x:v>750</x:v>
      </x:c>
      <x:c r="I181" s="74" t="n">
        <x:f>IF(OR(G181="",H181=""),"",G181/1000*H181)</x:f>
        <x:v>150</x:v>
      </x:c>
      <x:c r="J181" s="75" t="n">
        <x:v>3.75</x:v>
      </x:c>
      <x:c r="K181" s="75" t="n">
        <x:v>0.2</x:v>
      </x:c>
      <x:c r="L181" s="75" t="n">
        <x:v>0.025</x:v>
      </x:c>
      <x:c r="M181" s="75" t="n">
        <x:f>IF(OR(J181="",K181=""),"",J181/(2*(1+K181)))</x:f>
        <x:v>1.5625</x:v>
      </x:c>
      <x:c r="N181" s="76" t="n">
        <x:f>IF(OR(J181="",H181="",K181=""),"",SQRT(J181*1000000000*(1-K181)/(H181*(1+K181)*(1-2*K181))))</x:f>
        <x:v>2357.0226039551585</x:v>
      </x:c>
      <x:c r="O181" s="75" t="n">
        <x:f>IF(OR(H181="",N181=""),"",H181*N181/1000000)</x:f>
        <x:v>1.767766952966369</x:v>
      </x:c>
      <x:c r="P181" s="74" t="n">
        <x:f>IF(OR(J181="",G181="",K181=""),"",J181*1000000000*(G181/1000)^3/(12*(1-K181^2)))</x:f>
        <x:v>2604166.6666666674</x:v>
      </x:c>
      <x:c r="Q181" s="76" t="n">
        <x:f>IF(OR(I181="",P181=""),"",343.2^2/(2*PI())*SQRT(I181/P181))</x:f>
        <x:v>142.27412774280035</x:v>
      </x:c>
      <x:c r="R181" s="58" t="n">
        <x:v>8</x:v>
      </x:c>
      <x:c r="S181" s="62" t="n">
        <x:v>0.19</x:v>
      </x:c>
      <x:c r="T181" s="46" t="str">
        <x:v>20 °C / kuru nominal</x:v>
      </x:c>
      <x:c r="U181" s="46" t="str">
        <x:v>DÜŞÜK</x:v>
      </x:c>
      <x:c r="V181" s="46" t="str"/>
      <x:c r="W181" s="50" t="str">
        <x:v>650 kg/m³ üzeri genel AAC sınıfı; seçili üretici standardı/testiyle doğrulanmalıdır.</x:v>
      </x:c>
    </x:row>
    <x:row r="182">
      <x:c r="A182" s="46" t="str">
        <x:v>AAC-D750-T225</x:v>
      </x:c>
      <x:c r="B182" s="46" t="str">
        <x:v>AAC / Gazbeton</x:v>
      </x:c>
      <x:c r="C182" s="46" t="str">
        <x:v>Nominal kuru yoğunluk sınıfı 750 kg/m³</x:v>
      </x:c>
      <x:c r="D182" s="46" t="str">
        <x:v>GENERIC</x:v>
      </x:c>
      <x:c r="E182" s="46" t="str">
        <x:v>AAC D750</x:v>
      </x:c>
      <x:c r="F182" s="70" t="str">
        <x:v>ENGINEERING_EXTRAPOLATION</x:v>
      </x:c>
      <x:c r="G182" s="54" t="n">
        <x:v>225</x:v>
      </x:c>
      <x:c r="H182" s="54" t="n">
        <x:v>750</x:v>
      </x:c>
      <x:c r="I182" s="74" t="n">
        <x:f>IF(OR(G182="",H182=""),"",G182/1000*H182)</x:f>
        <x:v>168.75</x:v>
      </x:c>
      <x:c r="J182" s="75" t="n">
        <x:v>3.75</x:v>
      </x:c>
      <x:c r="K182" s="75" t="n">
        <x:v>0.2</x:v>
      </x:c>
      <x:c r="L182" s="75" t="n">
        <x:v>0.025</x:v>
      </x:c>
      <x:c r="M182" s="75" t="n">
        <x:f>IF(OR(J182="",K182=""),"",J182/(2*(1+K182)))</x:f>
        <x:v>1.5625</x:v>
      </x:c>
      <x:c r="N182" s="76" t="n">
        <x:f>IF(OR(J182="",H182="",K182=""),"",SQRT(J182*1000000000*(1-K182)/(H182*(1+K182)*(1-2*K182))))</x:f>
        <x:v>2357.0226039551585</x:v>
      </x:c>
      <x:c r="O182" s="75" t="n">
        <x:f>IF(OR(H182="",N182=""),"",H182*N182/1000000)</x:f>
        <x:v>1.767766952966369</x:v>
      </x:c>
      <x:c r="P182" s="74" t="n">
        <x:f>IF(OR(J182="",G182="",K182=""),"",J182*1000000000*(G182/1000)^3/(12*(1-K182^2)))</x:f>
        <x:v>3707885.742187501</x:v>
      </x:c>
      <x:c r="Q182" s="76" t="n">
        <x:f>IF(OR(I182="",P182=""),"",343.2^2/(2*PI())*SQRT(I182/P182))</x:f>
        <x:v>126.46589132693363</x:v>
      </x:c>
      <x:c r="R182" s="58" t="n">
        <x:v>8</x:v>
      </x:c>
      <x:c r="S182" s="62" t="n">
        <x:v>0.19</x:v>
      </x:c>
      <x:c r="T182" s="46" t="str">
        <x:v>20 °C / kuru nominal</x:v>
      </x:c>
      <x:c r="U182" s="46" t="str">
        <x:v>DÜŞÜK</x:v>
      </x:c>
      <x:c r="V182" s="46" t="str"/>
      <x:c r="W182" s="50" t="str">
        <x:v>650 kg/m³ üzeri genel AAC sınıfı; seçili üretici standardı/testiyle doğrulanmalıdır.</x:v>
      </x:c>
    </x:row>
    <x:row r="183">
      <x:c r="A183" s="46" t="str">
        <x:v>AAC-D750-T250</x:v>
      </x:c>
      <x:c r="B183" s="46" t="str">
        <x:v>AAC / Gazbeton</x:v>
      </x:c>
      <x:c r="C183" s="46" t="str">
        <x:v>Nominal kuru yoğunluk sınıfı 750 kg/m³</x:v>
      </x:c>
      <x:c r="D183" s="46" t="str">
        <x:v>GENERIC</x:v>
      </x:c>
      <x:c r="E183" s="46" t="str">
        <x:v>AAC D750</x:v>
      </x:c>
      <x:c r="F183" s="70" t="str">
        <x:v>ENGINEERING_EXTRAPOLATION</x:v>
      </x:c>
      <x:c r="G183" s="54" t="n">
        <x:v>250</x:v>
      </x:c>
      <x:c r="H183" s="54" t="n">
        <x:v>750</x:v>
      </x:c>
      <x:c r="I183" s="74" t="n">
        <x:f>IF(OR(G183="",H183=""),"",G183/1000*H183)</x:f>
        <x:v>187.5</x:v>
      </x:c>
      <x:c r="J183" s="75" t="n">
        <x:v>3.75</x:v>
      </x:c>
      <x:c r="K183" s="75" t="n">
        <x:v>0.2</x:v>
      </x:c>
      <x:c r="L183" s="75" t="n">
        <x:v>0.025</x:v>
      </x:c>
      <x:c r="M183" s="75" t="n">
        <x:f>IF(OR(J183="",K183=""),"",J183/(2*(1+K183)))</x:f>
        <x:v>1.5625</x:v>
      </x:c>
      <x:c r="N183" s="76" t="n">
        <x:f>IF(OR(J183="",H183="",K183=""),"",SQRT(J183*1000000000*(1-K183)/(H183*(1+K183)*(1-2*K183))))</x:f>
        <x:v>2357.0226039551585</x:v>
      </x:c>
      <x:c r="O183" s="75" t="n">
        <x:f>IF(OR(H183="",N183=""),"",H183*N183/1000000)</x:f>
        <x:v>1.767766952966369</x:v>
      </x:c>
      <x:c r="P183" s="74" t="n">
        <x:f>IF(OR(J183="",G183="",K183=""),"",J183*1000000000*(G183/1000)^3/(12*(1-K183^2)))</x:f>
        <x:v>5086263.020833334</x:v>
      </x:c>
      <x:c r="Q183" s="76" t="n">
        <x:f>IF(OR(I183="",P183=""),"",343.2^2/(2*PI())*SQRT(I183/P183))</x:f>
        <x:v>113.81930219424028</x:v>
      </x:c>
      <x:c r="R183" s="58" t="n">
        <x:v>8</x:v>
      </x:c>
      <x:c r="S183" s="62" t="n">
        <x:v>0.19</x:v>
      </x:c>
      <x:c r="T183" s="46" t="str">
        <x:v>20 °C / kuru nominal</x:v>
      </x:c>
      <x:c r="U183" s="46" t="str">
        <x:v>DÜŞÜK</x:v>
      </x:c>
      <x:c r="V183" s="46" t="str"/>
      <x:c r="W183" s="50" t="str">
        <x:v>650 kg/m³ üzeri genel AAC sınıfı; seçili üretici standardı/testiyle doğrulanmalıdır.</x:v>
      </x:c>
    </x:row>
    <x:row r="184">
      <x:c r="A184" s="46" t="str">
        <x:v>AAC-D750-T300</x:v>
      </x:c>
      <x:c r="B184" s="46" t="str">
        <x:v>AAC / Gazbeton</x:v>
      </x:c>
      <x:c r="C184" s="46" t="str">
        <x:v>Nominal kuru yoğunluk sınıfı 750 kg/m³</x:v>
      </x:c>
      <x:c r="D184" s="46" t="str">
        <x:v>GENERIC</x:v>
      </x:c>
      <x:c r="E184" s="46" t="str">
        <x:v>AAC D750</x:v>
      </x:c>
      <x:c r="F184" s="70" t="str">
        <x:v>ENGINEERING_EXTRAPOLATION</x:v>
      </x:c>
      <x:c r="G184" s="54" t="n">
        <x:v>300</x:v>
      </x:c>
      <x:c r="H184" s="54" t="n">
        <x:v>750</x:v>
      </x:c>
      <x:c r="I184" s="74" t="n">
        <x:f>IF(OR(G184="",H184=""),"",G184/1000*H184)</x:f>
        <x:v>225</x:v>
      </x:c>
      <x:c r="J184" s="75" t="n">
        <x:v>3.75</x:v>
      </x:c>
      <x:c r="K184" s="75" t="n">
        <x:v>0.2</x:v>
      </x:c>
      <x:c r="L184" s="75" t="n">
        <x:v>0.025</x:v>
      </x:c>
      <x:c r="M184" s="75" t="n">
        <x:f>IF(OR(J184="",K184=""),"",J184/(2*(1+K184)))</x:f>
        <x:v>1.5625</x:v>
      </x:c>
      <x:c r="N184" s="76" t="n">
        <x:f>IF(OR(J184="",H184="",K184=""),"",SQRT(J184*1000000000*(1-K184)/(H184*(1+K184)*(1-2*K184))))</x:f>
        <x:v>2357.0226039551585</x:v>
      </x:c>
      <x:c r="O184" s="75" t="n">
        <x:f>IF(OR(H184="",N184=""),"",H184*N184/1000000)</x:f>
        <x:v>1.767766952966369</x:v>
      </x:c>
      <x:c r="P184" s="74" t="n">
        <x:f>IF(OR(J184="",G184="",K184=""),"",J184*1000000000*(G184/1000)^3/(12*(1-K184^2)))</x:f>
        <x:v>8789062.5</x:v>
      </x:c>
      <x:c r="Q184" s="76" t="n">
        <x:f>IF(OR(I184="",P184=""),"",343.2^2/(2*PI())*SQRT(I184/P184))</x:f>
        <x:v>94.84941849520024</x:v>
      </x:c>
      <x:c r="R184" s="58" t="n">
        <x:v>8</x:v>
      </x:c>
      <x:c r="S184" s="62" t="n">
        <x:v>0.19</x:v>
      </x:c>
      <x:c r="T184" s="46" t="str">
        <x:v>20 °C / kuru nominal</x:v>
      </x:c>
      <x:c r="U184" s="46" t="str">
        <x:v>DÜŞÜK</x:v>
      </x:c>
      <x:c r="V184" s="46" t="str"/>
      <x:c r="W184" s="50" t="str">
        <x:v>650 kg/m³ üzeri genel AAC sınıfı; seçili üretici standardı/testiyle doğrulanmalıdır.</x:v>
      </x:c>
    </x:row>
    <x:row r="185">
      <x:c r="A185" s="46" t="str">
        <x:v>AAC-D750-T375</x:v>
      </x:c>
      <x:c r="B185" s="46" t="str">
        <x:v>AAC / Gazbeton</x:v>
      </x:c>
      <x:c r="C185" s="46" t="str">
        <x:v>Nominal kuru yoğunluk sınıfı 750 kg/m³</x:v>
      </x:c>
      <x:c r="D185" s="46" t="str">
        <x:v>GENERIC</x:v>
      </x:c>
      <x:c r="E185" s="46" t="str">
        <x:v>AAC D750</x:v>
      </x:c>
      <x:c r="F185" s="70" t="str">
        <x:v>ENGINEERING_EXTRAPOLATION</x:v>
      </x:c>
      <x:c r="G185" s="54" t="n">
        <x:v>375</x:v>
      </x:c>
      <x:c r="H185" s="54" t="n">
        <x:v>750</x:v>
      </x:c>
      <x:c r="I185" s="74" t="n">
        <x:f>IF(OR(G185="",H185=""),"",G185/1000*H185)</x:f>
        <x:v>281.25</x:v>
      </x:c>
      <x:c r="J185" s="75" t="n">
        <x:v>3.75</x:v>
      </x:c>
      <x:c r="K185" s="75" t="n">
        <x:v>0.2</x:v>
      </x:c>
      <x:c r="L185" s="75" t="n">
        <x:v>0.025</x:v>
      </x:c>
      <x:c r="M185" s="75" t="n">
        <x:f>IF(OR(J185="",K185=""),"",J185/(2*(1+K185)))</x:f>
        <x:v>1.5625</x:v>
      </x:c>
      <x:c r="N185" s="76" t="n">
        <x:f>IF(OR(J185="",H185="",K185=""),"",SQRT(J185*1000000000*(1-K185)/(H185*(1+K185)*(1-2*K185))))</x:f>
        <x:v>2357.0226039551585</x:v>
      </x:c>
      <x:c r="O185" s="75" t="n">
        <x:f>IF(OR(H185="",N185=""),"",H185*N185/1000000)</x:f>
        <x:v>1.767766952966369</x:v>
      </x:c>
      <x:c r="P185" s="74" t="n">
        <x:f>IF(OR(J185="",G185="",K185=""),"",J185*1000000000*(G185/1000)^3/(12*(1-K185^2)))</x:f>
        <x:v>17166137.6953125</x:v>
      </x:c>
      <x:c r="Q185" s="76" t="n">
        <x:f>IF(OR(I185="",P185=""),"",343.2^2/(2*PI())*SQRT(I185/P185))</x:f>
        <x:v>75.87953479616019</x:v>
      </x:c>
      <x:c r="R185" s="58" t="n">
        <x:v>8</x:v>
      </x:c>
      <x:c r="S185" s="62" t="n">
        <x:v>0.19</x:v>
      </x:c>
      <x:c r="T185" s="46" t="str">
        <x:v>20 °C / kuru nominal</x:v>
      </x:c>
      <x:c r="U185" s="46" t="str">
        <x:v>DÜŞÜK</x:v>
      </x:c>
      <x:c r="V185" s="46" t="str"/>
      <x:c r="W185" s="50" t="str">
        <x:v>650 kg/m³ üzeri genel AAC sınıfı; seçili üretici standardı/testiyle doğrulanmalıdır.</x:v>
      </x:c>
    </x:row>
    <x:row r="186">
      <x:c r="A186" s="46" t="str">
        <x:v>AAC-D750-T450</x:v>
      </x:c>
      <x:c r="B186" s="46" t="str">
        <x:v>AAC / Gazbeton</x:v>
      </x:c>
      <x:c r="C186" s="46" t="str">
        <x:v>Nominal kuru yoğunluk sınıfı 750 kg/m³</x:v>
      </x:c>
      <x:c r="D186" s="46" t="str">
        <x:v>GENERIC</x:v>
      </x:c>
      <x:c r="E186" s="46" t="str">
        <x:v>AAC D750</x:v>
      </x:c>
      <x:c r="F186" s="70" t="str">
        <x:v>ENGINEERING_EXTRAPOLATION</x:v>
      </x:c>
      <x:c r="G186" s="54" t="n">
        <x:v>450</x:v>
      </x:c>
      <x:c r="H186" s="54" t="n">
        <x:v>750</x:v>
      </x:c>
      <x:c r="I186" s="74" t="n">
        <x:f>IF(OR(G186="",H186=""),"",G186/1000*H186)</x:f>
        <x:v>337.5</x:v>
      </x:c>
      <x:c r="J186" s="75" t="n">
        <x:v>3.75</x:v>
      </x:c>
      <x:c r="K186" s="75" t="n">
        <x:v>0.2</x:v>
      </x:c>
      <x:c r="L186" s="75" t="n">
        <x:v>0.025</x:v>
      </x:c>
      <x:c r="M186" s="75" t="n">
        <x:f>IF(OR(J186="",K186=""),"",J186/(2*(1+K186)))</x:f>
        <x:v>1.5625</x:v>
      </x:c>
      <x:c r="N186" s="76" t="n">
        <x:f>IF(OR(J186="",H186="",K186=""),"",SQRT(J186*1000000000*(1-K186)/(H186*(1+K186)*(1-2*K186))))</x:f>
        <x:v>2357.0226039551585</x:v>
      </x:c>
      <x:c r="O186" s="75" t="n">
        <x:f>IF(OR(H186="",N186=""),"",H186*N186/1000000)</x:f>
        <x:v>1.767766952966369</x:v>
      </x:c>
      <x:c r="P186" s="74" t="n">
        <x:f>IF(OR(J186="",G186="",K186=""),"",J186*1000000000*(G186/1000)^3/(12*(1-K186^2)))</x:f>
        <x:v>29663085.937500007</x:v>
      </x:c>
      <x:c r="Q186" s="76" t="n">
        <x:f>IF(OR(I186="",P186=""),"",343.2^2/(2*PI())*SQRT(I186/P186))</x:f>
        <x:v>63.232945663466815</x:v>
      </x:c>
      <x:c r="R186" s="58" t="n">
        <x:v>8</x:v>
      </x:c>
      <x:c r="S186" s="62" t="n">
        <x:v>0.19</x:v>
      </x:c>
      <x:c r="T186" s="46" t="str">
        <x:v>20 °C / kuru nominal</x:v>
      </x:c>
      <x:c r="U186" s="46" t="str">
        <x:v>DÜŞÜK</x:v>
      </x:c>
      <x:c r="V186" s="46" t="str"/>
      <x:c r="W186" s="50" t="str">
        <x:v>650 kg/m³ üzeri genel AAC sınıfı; seçili üretici standardı/testiyle doğrulanmalıdır.</x:v>
      </x:c>
    </x:row>
    <x:row r="187">
      <x:c r="A187" s="46" t="str">
        <x:v>AAC-D750-T500</x:v>
      </x:c>
      <x:c r="B187" s="46" t="str">
        <x:v>AAC / Gazbeton</x:v>
      </x:c>
      <x:c r="C187" s="46" t="str">
        <x:v>Nominal kuru yoğunluk sınıfı 750 kg/m³</x:v>
      </x:c>
      <x:c r="D187" s="46" t="str">
        <x:v>GENERIC</x:v>
      </x:c>
      <x:c r="E187" s="46" t="str">
        <x:v>AAC D750</x:v>
      </x:c>
      <x:c r="F187" s="70" t="str">
        <x:v>ENGINEERING_EXTRAPOLATION</x:v>
      </x:c>
      <x:c r="G187" s="54" t="n">
        <x:v>500</x:v>
      </x:c>
      <x:c r="H187" s="54" t="n">
        <x:v>750</x:v>
      </x:c>
      <x:c r="I187" s="74" t="n">
        <x:f>IF(OR(G187="",H187=""),"",G187/1000*H187)</x:f>
        <x:v>375</x:v>
      </x:c>
      <x:c r="J187" s="75" t="n">
        <x:v>3.75</x:v>
      </x:c>
      <x:c r="K187" s="75" t="n">
        <x:v>0.2</x:v>
      </x:c>
      <x:c r="L187" s="75" t="n">
        <x:v>0.025</x:v>
      </x:c>
      <x:c r="M187" s="75" t="n">
        <x:f>IF(OR(J187="",K187=""),"",J187/(2*(1+K187)))</x:f>
        <x:v>1.5625</x:v>
      </x:c>
      <x:c r="N187" s="76" t="n">
        <x:f>IF(OR(J187="",H187="",K187=""),"",SQRT(J187*1000000000*(1-K187)/(H187*(1+K187)*(1-2*K187))))</x:f>
        <x:v>2357.0226039551585</x:v>
      </x:c>
      <x:c r="O187" s="75" t="n">
        <x:f>IF(OR(H187="",N187=""),"",H187*N187/1000000)</x:f>
        <x:v>1.767766952966369</x:v>
      </x:c>
      <x:c r="P187" s="74" t="n">
        <x:f>IF(OR(J187="",G187="",K187=""),"",J187*1000000000*(G187/1000)^3/(12*(1-K187^2)))</x:f>
        <x:v>40690104.16666667</x:v>
      </x:c>
      <x:c r="Q187" s="76" t="n">
        <x:f>IF(OR(I187="",P187=""),"",343.2^2/(2*PI())*SQRT(I187/P187))</x:f>
        <x:v>56.90965109712014</x:v>
      </x:c>
      <x:c r="R187" s="58" t="n">
        <x:v>8</x:v>
      </x:c>
      <x:c r="S187" s="62" t="n">
        <x:v>0.19</x:v>
      </x:c>
      <x:c r="T187" s="46" t="str">
        <x:v>20 °C / kuru nominal</x:v>
      </x:c>
      <x:c r="U187" s="46" t="str">
        <x:v>DÜŞÜK</x:v>
      </x:c>
      <x:c r="V187" s="46" t="str"/>
      <x:c r="W187" s="50" t="str">
        <x:v>650 kg/m³ üzeri genel AAC sınıfı; seçili üretici standardı/testiyle doğrulanmalıdır.</x:v>
      </x:c>
    </x:row>
    <x:row r="188">
      <x:c r="A188" s="46" t="str">
        <x:v>AAC-D800-T50</x:v>
      </x:c>
      <x:c r="B188" s="46" t="str">
        <x:v>AAC / Gazbeton</x:v>
      </x:c>
      <x:c r="C188" s="46" t="str">
        <x:v>Nominal kuru yoğunluk sınıfı 800 kg/m³</x:v>
      </x:c>
      <x:c r="D188" s="46" t="str">
        <x:v>GENERIC</x:v>
      </x:c>
      <x:c r="E188" s="46" t="str">
        <x:v>AAC D800</x:v>
      </x:c>
      <x:c r="F188" s="70" t="str">
        <x:v>ENGINEERING_EXTRAPOLATION</x:v>
      </x:c>
      <x:c r="G188" s="54" t="n">
        <x:v>50</x:v>
      </x:c>
      <x:c r="H188" s="54" t="n">
        <x:v>800</x:v>
      </x:c>
      <x:c r="I188" s="74" t="n">
        <x:f>IF(OR(G188="",H188=""),"",G188/1000*H188)</x:f>
        <x:v>40</x:v>
      </x:c>
      <x:c r="J188" s="75" t="n">
        <x:v>4</x:v>
      </x:c>
      <x:c r="K188" s="75" t="n">
        <x:v>0.2</x:v>
      </x:c>
      <x:c r="L188" s="75" t="n">
        <x:v>0.025</x:v>
      </x:c>
      <x:c r="M188" s="75" t="n">
        <x:f>IF(OR(J188="",K188=""),"",J188/(2*(1+K188)))</x:f>
        <x:v>1.6666666666666667</x:v>
      </x:c>
      <x:c r="N188" s="76" t="n">
        <x:f>IF(OR(J188="",H188="",K188=""),"",SQRT(J188*1000000000*(1-K188)/(H188*(1+K188)*(1-2*K188))))</x:f>
        <x:v>2357.0226039551585</x:v>
      </x:c>
      <x:c r="O188" s="75" t="n">
        <x:f>IF(OR(H188="",N188=""),"",H188*N188/1000000)</x:f>
        <x:v>1.885618083164127</x:v>
      </x:c>
      <x:c r="P188" s="74" t="n">
        <x:f>IF(OR(J188="",G188="",K188=""),"",J188*1000000000*(G188/1000)^3/(12*(1-K188^2)))</x:f>
        <x:v>43402.77777777779</x:v>
      </x:c>
      <x:c r="Q188" s="76" t="n">
        <x:f>IF(OR(I188="",P188=""),"",343.2^2/(2*PI())*SQRT(I188/P188))</x:f>
        <x:v>569.0965109712014</x:v>
      </x:c>
      <x:c r="R188" s="58" t="n">
        <x:v>9</x:v>
      </x:c>
      <x:c r="S188" s="62" t="n">
        <x:v>0.205</x:v>
      </x:c>
      <x:c r="T188" s="46" t="str">
        <x:v>20 °C / kuru nominal</x:v>
      </x:c>
      <x:c r="U188" s="46" t="str">
        <x:v>DÜŞÜK</x:v>
      </x:c>
      <x:c r="V188" s="46" t="str"/>
      <x:c r="W188" s="50" t="str">
        <x:v>650 kg/m³ üzeri genel AAC sınıfı; seçili üretici standardı/testiyle doğrulanmalıdır.</x:v>
      </x:c>
    </x:row>
    <x:row r="189">
      <x:c r="A189" s="46" t="str">
        <x:v>AAC-D800-T75</x:v>
      </x:c>
      <x:c r="B189" s="46" t="str">
        <x:v>AAC / Gazbeton</x:v>
      </x:c>
      <x:c r="C189" s="46" t="str">
        <x:v>Nominal kuru yoğunluk sınıfı 800 kg/m³</x:v>
      </x:c>
      <x:c r="D189" s="46" t="str">
        <x:v>GENERIC</x:v>
      </x:c>
      <x:c r="E189" s="46" t="str">
        <x:v>AAC D800</x:v>
      </x:c>
      <x:c r="F189" s="70" t="str">
        <x:v>ENGINEERING_EXTRAPOLATION</x:v>
      </x:c>
      <x:c r="G189" s="54" t="n">
        <x:v>75</x:v>
      </x:c>
      <x:c r="H189" s="54" t="n">
        <x:v>800</x:v>
      </x:c>
      <x:c r="I189" s="74" t="n">
        <x:f>IF(OR(G189="",H189=""),"",G189/1000*H189)</x:f>
        <x:v>60</x:v>
      </x:c>
      <x:c r="J189" s="75" t="n">
        <x:v>4</x:v>
      </x:c>
      <x:c r="K189" s="75" t="n">
        <x:v>0.2</x:v>
      </x:c>
      <x:c r="L189" s="75" t="n">
        <x:v>0.025</x:v>
      </x:c>
      <x:c r="M189" s="75" t="n">
        <x:f>IF(OR(J189="",K189=""),"",J189/(2*(1+K189)))</x:f>
        <x:v>1.6666666666666667</x:v>
      </x:c>
      <x:c r="N189" s="76" t="n">
        <x:f>IF(OR(J189="",H189="",K189=""),"",SQRT(J189*1000000000*(1-K189)/(H189*(1+K189)*(1-2*K189))))</x:f>
        <x:v>2357.0226039551585</x:v>
      </x:c>
      <x:c r="O189" s="75" t="n">
        <x:f>IF(OR(H189="",N189=""),"",H189*N189/1000000)</x:f>
        <x:v>1.885618083164127</x:v>
      </x:c>
      <x:c r="P189" s="74" t="n">
        <x:f>IF(OR(J189="",G189="",K189=""),"",J189*1000000000*(G189/1000)^3/(12*(1-K189^2)))</x:f>
        <x:v>146484.375</x:v>
      </x:c>
      <x:c r="Q189" s="76" t="n">
        <x:f>IF(OR(I189="",P189=""),"",343.2^2/(2*PI())*SQRT(I189/P189))</x:f>
        <x:v>379.39767398080096</x:v>
      </x:c>
      <x:c r="R189" s="58" t="n">
        <x:v>9</x:v>
      </x:c>
      <x:c r="S189" s="62" t="n">
        <x:v>0.205</x:v>
      </x:c>
      <x:c r="T189" s="46" t="str">
        <x:v>20 °C / kuru nominal</x:v>
      </x:c>
      <x:c r="U189" s="46" t="str">
        <x:v>DÜŞÜK</x:v>
      </x:c>
      <x:c r="V189" s="46" t="str"/>
      <x:c r="W189" s="50" t="str">
        <x:v>650 kg/m³ üzeri genel AAC sınıfı; seçili üretici standardı/testiyle doğrulanmalıdır.</x:v>
      </x:c>
    </x:row>
    <x:row r="190">
      <x:c r="A190" s="46" t="str">
        <x:v>AAC-D800-T100</x:v>
      </x:c>
      <x:c r="B190" s="46" t="str">
        <x:v>AAC / Gazbeton</x:v>
      </x:c>
      <x:c r="C190" s="46" t="str">
        <x:v>Nominal kuru yoğunluk sınıfı 800 kg/m³</x:v>
      </x:c>
      <x:c r="D190" s="46" t="str">
        <x:v>GENERIC</x:v>
      </x:c>
      <x:c r="E190" s="46" t="str">
        <x:v>AAC D800</x:v>
      </x:c>
      <x:c r="F190" s="70" t="str">
        <x:v>ENGINEERING_EXTRAPOLATION</x:v>
      </x:c>
      <x:c r="G190" s="54" t="n">
        <x:v>100</x:v>
      </x:c>
      <x:c r="H190" s="54" t="n">
        <x:v>800</x:v>
      </x:c>
      <x:c r="I190" s="74" t="n">
        <x:f>IF(OR(G190="",H190=""),"",G190/1000*H190)</x:f>
        <x:v>80</x:v>
      </x:c>
      <x:c r="J190" s="75" t="n">
        <x:v>4</x:v>
      </x:c>
      <x:c r="K190" s="75" t="n">
        <x:v>0.2</x:v>
      </x:c>
      <x:c r="L190" s="75" t="n">
        <x:v>0.025</x:v>
      </x:c>
      <x:c r="M190" s="75" t="n">
        <x:f>IF(OR(J190="",K190=""),"",J190/(2*(1+K190)))</x:f>
        <x:v>1.6666666666666667</x:v>
      </x:c>
      <x:c r="N190" s="76" t="n">
        <x:f>IF(OR(J190="",H190="",K190=""),"",SQRT(J190*1000000000*(1-K190)/(H190*(1+K190)*(1-2*K190))))</x:f>
        <x:v>2357.0226039551585</x:v>
      </x:c>
      <x:c r="O190" s="75" t="n">
        <x:f>IF(OR(H190="",N190=""),"",H190*N190/1000000)</x:f>
        <x:v>1.885618083164127</x:v>
      </x:c>
      <x:c r="P190" s="74" t="n">
        <x:f>IF(OR(J190="",G190="",K190=""),"",J190*1000000000*(G190/1000)^3/(12*(1-K190^2)))</x:f>
        <x:v>347222.2222222223</x:v>
      </x:c>
      <x:c r="Q190" s="76" t="n">
        <x:f>IF(OR(I190="",P190=""),"",343.2^2/(2*PI())*SQRT(I190/P190))</x:f>
        <x:v>284.5482554856007</x:v>
      </x:c>
      <x:c r="R190" s="58" t="n">
        <x:v>9</x:v>
      </x:c>
      <x:c r="S190" s="62" t="n">
        <x:v>0.205</x:v>
      </x:c>
      <x:c r="T190" s="46" t="str">
        <x:v>20 °C / kuru nominal</x:v>
      </x:c>
      <x:c r="U190" s="46" t="str">
        <x:v>DÜŞÜK</x:v>
      </x:c>
      <x:c r="V190" s="46" t="str"/>
      <x:c r="W190" s="50" t="str">
        <x:v>650 kg/m³ üzeri genel AAC sınıfı; seçili üretici standardı/testiyle doğrulanmalıdır.</x:v>
      </x:c>
    </x:row>
    <x:row r="191">
      <x:c r="A191" s="46" t="str">
        <x:v>AAC-D800-T125</x:v>
      </x:c>
      <x:c r="B191" s="46" t="str">
        <x:v>AAC / Gazbeton</x:v>
      </x:c>
      <x:c r="C191" s="46" t="str">
        <x:v>Nominal kuru yoğunluk sınıfı 800 kg/m³</x:v>
      </x:c>
      <x:c r="D191" s="46" t="str">
        <x:v>GENERIC</x:v>
      </x:c>
      <x:c r="E191" s="46" t="str">
        <x:v>AAC D800</x:v>
      </x:c>
      <x:c r="F191" s="70" t="str">
        <x:v>ENGINEERING_EXTRAPOLATION</x:v>
      </x:c>
      <x:c r="G191" s="54" t="n">
        <x:v>125</x:v>
      </x:c>
      <x:c r="H191" s="54" t="n">
        <x:v>800</x:v>
      </x:c>
      <x:c r="I191" s="74" t="n">
        <x:f>IF(OR(G191="",H191=""),"",G191/1000*H191)</x:f>
        <x:v>100</x:v>
      </x:c>
      <x:c r="J191" s="75" t="n">
        <x:v>4</x:v>
      </x:c>
      <x:c r="K191" s="75" t="n">
        <x:v>0.2</x:v>
      </x:c>
      <x:c r="L191" s="75" t="n">
        <x:v>0.025</x:v>
      </x:c>
      <x:c r="M191" s="75" t="n">
        <x:f>IF(OR(J191="",K191=""),"",J191/(2*(1+K191)))</x:f>
        <x:v>1.6666666666666667</x:v>
      </x:c>
      <x:c r="N191" s="76" t="n">
        <x:f>IF(OR(J191="",H191="",K191=""),"",SQRT(J191*1000000000*(1-K191)/(H191*(1+K191)*(1-2*K191))))</x:f>
        <x:v>2357.0226039551585</x:v>
      </x:c>
      <x:c r="O191" s="75" t="n">
        <x:f>IF(OR(H191="",N191=""),"",H191*N191/1000000)</x:f>
        <x:v>1.885618083164127</x:v>
      </x:c>
      <x:c r="P191" s="74" t="n">
        <x:f>IF(OR(J191="",G191="",K191=""),"",J191*1000000000*(G191/1000)^3/(12*(1-K191^2)))</x:f>
        <x:v>678168.4027777778</x:v>
      </x:c>
      <x:c r="Q191" s="76" t="n">
        <x:f>IF(OR(I191="",P191=""),"",343.2^2/(2*PI())*SQRT(I191/P191))</x:f>
        <x:v>227.63860438848056</x:v>
      </x:c>
      <x:c r="R191" s="58" t="n">
        <x:v>9</x:v>
      </x:c>
      <x:c r="S191" s="62" t="n">
        <x:v>0.205</x:v>
      </x:c>
      <x:c r="T191" s="46" t="str">
        <x:v>20 °C / kuru nominal</x:v>
      </x:c>
      <x:c r="U191" s="46" t="str">
        <x:v>DÜŞÜK</x:v>
      </x:c>
      <x:c r="V191" s="46" t="str"/>
      <x:c r="W191" s="50" t="str">
        <x:v>650 kg/m³ üzeri genel AAC sınıfı; seçili üretici standardı/testiyle doğrulanmalıdır.</x:v>
      </x:c>
    </x:row>
    <x:row r="192">
      <x:c r="A192" s="46" t="str">
        <x:v>AAC-D800-T150</x:v>
      </x:c>
      <x:c r="B192" s="46" t="str">
        <x:v>AAC / Gazbeton</x:v>
      </x:c>
      <x:c r="C192" s="46" t="str">
        <x:v>Nominal kuru yoğunluk sınıfı 800 kg/m³</x:v>
      </x:c>
      <x:c r="D192" s="46" t="str">
        <x:v>GENERIC</x:v>
      </x:c>
      <x:c r="E192" s="46" t="str">
        <x:v>AAC D800</x:v>
      </x:c>
      <x:c r="F192" s="70" t="str">
        <x:v>ENGINEERING_EXTRAPOLATION</x:v>
      </x:c>
      <x:c r="G192" s="54" t="n">
        <x:v>150</x:v>
      </x:c>
      <x:c r="H192" s="54" t="n">
        <x:v>800</x:v>
      </x:c>
      <x:c r="I192" s="74" t="n">
        <x:f>IF(OR(G192="",H192=""),"",G192/1000*H192)</x:f>
        <x:v>120</x:v>
      </x:c>
      <x:c r="J192" s="75" t="n">
        <x:v>4</x:v>
      </x:c>
      <x:c r="K192" s="75" t="n">
        <x:v>0.2</x:v>
      </x:c>
      <x:c r="L192" s="75" t="n">
        <x:v>0.025</x:v>
      </x:c>
      <x:c r="M192" s="75" t="n">
        <x:f>IF(OR(J192="",K192=""),"",J192/(2*(1+K192)))</x:f>
        <x:v>1.6666666666666667</x:v>
      </x:c>
      <x:c r="N192" s="76" t="n">
        <x:f>IF(OR(J192="",H192="",K192=""),"",SQRT(J192*1000000000*(1-K192)/(H192*(1+K192)*(1-2*K192))))</x:f>
        <x:v>2357.0226039551585</x:v>
      </x:c>
      <x:c r="O192" s="75" t="n">
        <x:f>IF(OR(H192="",N192=""),"",H192*N192/1000000)</x:f>
        <x:v>1.885618083164127</x:v>
      </x:c>
      <x:c r="P192" s="74" t="n">
        <x:f>IF(OR(J192="",G192="",K192=""),"",J192*1000000000*(G192/1000)^3/(12*(1-K192^2)))</x:f>
        <x:v>1171875</x:v>
      </x:c>
      <x:c r="Q192" s="76" t="n">
        <x:f>IF(OR(I192="",P192=""),"",343.2^2/(2*PI())*SQRT(I192/P192))</x:f>
        <x:v>189.69883699040048</x:v>
      </x:c>
      <x:c r="R192" s="58" t="n">
        <x:v>9</x:v>
      </x:c>
      <x:c r="S192" s="62" t="n">
        <x:v>0.205</x:v>
      </x:c>
      <x:c r="T192" s="46" t="str">
        <x:v>20 °C / kuru nominal</x:v>
      </x:c>
      <x:c r="U192" s="46" t="str">
        <x:v>DÜŞÜK</x:v>
      </x:c>
      <x:c r="V192" s="46" t="str"/>
      <x:c r="W192" s="50" t="str">
        <x:v>650 kg/m³ üzeri genel AAC sınıfı; seçili üretici standardı/testiyle doğrulanmalıdır.</x:v>
      </x:c>
    </x:row>
    <x:row r="193">
      <x:c r="A193" s="46" t="str">
        <x:v>AAC-D800-T175</x:v>
      </x:c>
      <x:c r="B193" s="46" t="str">
        <x:v>AAC / Gazbeton</x:v>
      </x:c>
      <x:c r="C193" s="46" t="str">
        <x:v>Nominal kuru yoğunluk sınıfı 800 kg/m³</x:v>
      </x:c>
      <x:c r="D193" s="46" t="str">
        <x:v>GENERIC</x:v>
      </x:c>
      <x:c r="E193" s="46" t="str">
        <x:v>AAC D800</x:v>
      </x:c>
      <x:c r="F193" s="70" t="str">
        <x:v>ENGINEERING_EXTRAPOLATION</x:v>
      </x:c>
      <x:c r="G193" s="54" t="n">
        <x:v>175</x:v>
      </x:c>
      <x:c r="H193" s="54" t="n">
        <x:v>800</x:v>
      </x:c>
      <x:c r="I193" s="74" t="n">
        <x:f>IF(OR(G193="",H193=""),"",G193/1000*H193)</x:f>
        <x:v>140</x:v>
      </x:c>
      <x:c r="J193" s="75" t="n">
        <x:v>4</x:v>
      </x:c>
      <x:c r="K193" s="75" t="n">
        <x:v>0.2</x:v>
      </x:c>
      <x:c r="L193" s="75" t="n">
        <x:v>0.025</x:v>
      </x:c>
      <x:c r="M193" s="75" t="n">
        <x:f>IF(OR(J193="",K193=""),"",J193/(2*(1+K193)))</x:f>
        <x:v>1.6666666666666667</x:v>
      </x:c>
      <x:c r="N193" s="76" t="n">
        <x:f>IF(OR(J193="",H193="",K193=""),"",SQRT(J193*1000000000*(1-K193)/(H193*(1+K193)*(1-2*K193))))</x:f>
        <x:v>2357.0226039551585</x:v>
      </x:c>
      <x:c r="O193" s="75" t="n">
        <x:f>IF(OR(H193="",N193=""),"",H193*N193/1000000)</x:f>
        <x:v>1.885618083164127</x:v>
      </x:c>
      <x:c r="P193" s="74" t="n">
        <x:f>IF(OR(J193="",G193="",K193=""),"",J193*1000000000*(G193/1000)^3/(12*(1-K193^2)))</x:f>
        <x:v>1860894.097222222</x:v>
      </x:c>
      <x:c r="Q193" s="76" t="n">
        <x:f>IF(OR(I193="",P193=""),"",343.2^2/(2*PI())*SQRT(I193/P193))</x:f>
        <x:v>162.599003134629</x:v>
      </x:c>
      <x:c r="R193" s="58" t="n">
        <x:v>9</x:v>
      </x:c>
      <x:c r="S193" s="62" t="n">
        <x:v>0.205</x:v>
      </x:c>
      <x:c r="T193" s="46" t="str">
        <x:v>20 °C / kuru nominal</x:v>
      </x:c>
      <x:c r="U193" s="46" t="str">
        <x:v>DÜŞÜK</x:v>
      </x:c>
      <x:c r="V193" s="46" t="str"/>
      <x:c r="W193" s="50" t="str">
        <x:v>650 kg/m³ üzeri genel AAC sınıfı; seçili üretici standardı/testiyle doğrulanmalıdır.</x:v>
      </x:c>
    </x:row>
    <x:row r="194">
      <x:c r="A194" s="46" t="str">
        <x:v>AAC-D800-T200</x:v>
      </x:c>
      <x:c r="B194" s="46" t="str">
        <x:v>AAC / Gazbeton</x:v>
      </x:c>
      <x:c r="C194" s="46" t="str">
        <x:v>Nominal kuru yoğunluk sınıfı 800 kg/m³</x:v>
      </x:c>
      <x:c r="D194" s="46" t="str">
        <x:v>GENERIC</x:v>
      </x:c>
      <x:c r="E194" s="46" t="str">
        <x:v>AAC D800</x:v>
      </x:c>
      <x:c r="F194" s="70" t="str">
        <x:v>ENGINEERING_EXTRAPOLATION</x:v>
      </x:c>
      <x:c r="G194" s="54" t="n">
        <x:v>200</x:v>
      </x:c>
      <x:c r="H194" s="54" t="n">
        <x:v>800</x:v>
      </x:c>
      <x:c r="I194" s="74" t="n">
        <x:f>IF(OR(G194="",H194=""),"",G194/1000*H194)</x:f>
        <x:v>160</x:v>
      </x:c>
      <x:c r="J194" s="75" t="n">
        <x:v>4</x:v>
      </x:c>
      <x:c r="K194" s="75" t="n">
        <x:v>0.2</x:v>
      </x:c>
      <x:c r="L194" s="75" t="n">
        <x:v>0.025</x:v>
      </x:c>
      <x:c r="M194" s="75" t="n">
        <x:f>IF(OR(J194="",K194=""),"",J194/(2*(1+K194)))</x:f>
        <x:v>1.6666666666666667</x:v>
      </x:c>
      <x:c r="N194" s="76" t="n">
        <x:f>IF(OR(J194="",H194="",K194=""),"",SQRT(J194*1000000000*(1-K194)/(H194*(1+K194)*(1-2*K194))))</x:f>
        <x:v>2357.0226039551585</x:v>
      </x:c>
      <x:c r="O194" s="75" t="n">
        <x:f>IF(OR(H194="",N194=""),"",H194*N194/1000000)</x:f>
        <x:v>1.885618083164127</x:v>
      </x:c>
      <x:c r="P194" s="74" t="n">
        <x:f>IF(OR(J194="",G194="",K194=""),"",J194*1000000000*(G194/1000)^3/(12*(1-K194^2)))</x:f>
        <x:v>2777777.7777777785</x:v>
      </x:c>
      <x:c r="Q194" s="76" t="n">
        <x:f>IF(OR(I194="",P194=""),"",343.2^2/(2*PI())*SQRT(I194/P194))</x:f>
        <x:v>142.27412774280035</x:v>
      </x:c>
      <x:c r="R194" s="58" t="n">
        <x:v>9</x:v>
      </x:c>
      <x:c r="S194" s="62" t="n">
        <x:v>0.205</x:v>
      </x:c>
      <x:c r="T194" s="46" t="str">
        <x:v>20 °C / kuru nominal</x:v>
      </x:c>
      <x:c r="U194" s="46" t="str">
        <x:v>DÜŞÜK</x:v>
      </x:c>
      <x:c r="V194" s="46" t="str"/>
      <x:c r="W194" s="50" t="str">
        <x:v>650 kg/m³ üzeri genel AAC sınıfı; seçili üretici standardı/testiyle doğrulanmalıdır.</x:v>
      </x:c>
    </x:row>
    <x:row r="195">
      <x:c r="A195" s="46" t="str">
        <x:v>AAC-D800-T225</x:v>
      </x:c>
      <x:c r="B195" s="46" t="str">
        <x:v>AAC / Gazbeton</x:v>
      </x:c>
      <x:c r="C195" s="46" t="str">
        <x:v>Nominal kuru yoğunluk sınıfı 800 kg/m³</x:v>
      </x:c>
      <x:c r="D195" s="46" t="str">
        <x:v>GENERIC</x:v>
      </x:c>
      <x:c r="E195" s="46" t="str">
        <x:v>AAC D800</x:v>
      </x:c>
      <x:c r="F195" s="70" t="str">
        <x:v>ENGINEERING_EXTRAPOLATION</x:v>
      </x:c>
      <x:c r="G195" s="54" t="n">
        <x:v>225</x:v>
      </x:c>
      <x:c r="H195" s="54" t="n">
        <x:v>800</x:v>
      </x:c>
      <x:c r="I195" s="74" t="n">
        <x:f>IF(OR(G195="",H195=""),"",G195/1000*H195)</x:f>
        <x:v>180</x:v>
      </x:c>
      <x:c r="J195" s="75" t="n">
        <x:v>4</x:v>
      </x:c>
      <x:c r="K195" s="75" t="n">
        <x:v>0.2</x:v>
      </x:c>
      <x:c r="L195" s="75" t="n">
        <x:v>0.025</x:v>
      </x:c>
      <x:c r="M195" s="75" t="n">
        <x:f>IF(OR(J195="",K195=""),"",J195/(2*(1+K195)))</x:f>
        <x:v>1.6666666666666667</x:v>
      </x:c>
      <x:c r="N195" s="76" t="n">
        <x:f>IF(OR(J195="",H195="",K195=""),"",SQRT(J195*1000000000*(1-K195)/(H195*(1+K195)*(1-2*K195))))</x:f>
        <x:v>2357.0226039551585</x:v>
      </x:c>
      <x:c r="O195" s="75" t="n">
        <x:f>IF(OR(H195="",N195=""),"",H195*N195/1000000)</x:f>
        <x:v>1.885618083164127</x:v>
      </x:c>
      <x:c r="P195" s="74" t="n">
        <x:f>IF(OR(J195="",G195="",K195=""),"",J195*1000000000*(G195/1000)^3/(12*(1-K195^2)))</x:f>
        <x:v>3955078.125000001</x:v>
      </x:c>
      <x:c r="Q195" s="76" t="n">
        <x:f>IF(OR(I195="",P195=""),"",343.2^2/(2*PI())*SQRT(I195/P195))</x:f>
        <x:v>126.46589132693363</x:v>
      </x:c>
      <x:c r="R195" s="58" t="n">
        <x:v>9</x:v>
      </x:c>
      <x:c r="S195" s="62" t="n">
        <x:v>0.205</x:v>
      </x:c>
      <x:c r="T195" s="46" t="str">
        <x:v>20 °C / kuru nominal</x:v>
      </x:c>
      <x:c r="U195" s="46" t="str">
        <x:v>DÜŞÜK</x:v>
      </x:c>
      <x:c r="V195" s="46" t="str"/>
      <x:c r="W195" s="50" t="str">
        <x:v>650 kg/m³ üzeri genel AAC sınıfı; seçili üretici standardı/testiyle doğrulanmalıdır.</x:v>
      </x:c>
    </x:row>
    <x:row r="196">
      <x:c r="A196" s="46" t="str">
        <x:v>AAC-D800-T250</x:v>
      </x:c>
      <x:c r="B196" s="46" t="str">
        <x:v>AAC / Gazbeton</x:v>
      </x:c>
      <x:c r="C196" s="46" t="str">
        <x:v>Nominal kuru yoğunluk sınıfı 800 kg/m³</x:v>
      </x:c>
      <x:c r="D196" s="46" t="str">
        <x:v>GENERIC</x:v>
      </x:c>
      <x:c r="E196" s="46" t="str">
        <x:v>AAC D800</x:v>
      </x:c>
      <x:c r="F196" s="70" t="str">
        <x:v>ENGINEERING_EXTRAPOLATION</x:v>
      </x:c>
      <x:c r="G196" s="54" t="n">
        <x:v>250</x:v>
      </x:c>
      <x:c r="H196" s="54" t="n">
        <x:v>800</x:v>
      </x:c>
      <x:c r="I196" s="74" t="n">
        <x:f>IF(OR(G196="",H196=""),"",G196/1000*H196)</x:f>
        <x:v>200</x:v>
      </x:c>
      <x:c r="J196" s="75" t="n">
        <x:v>4</x:v>
      </x:c>
      <x:c r="K196" s="75" t="n">
        <x:v>0.2</x:v>
      </x:c>
      <x:c r="L196" s="75" t="n">
        <x:v>0.025</x:v>
      </x:c>
      <x:c r="M196" s="75" t="n">
        <x:f>IF(OR(J196="",K196=""),"",J196/(2*(1+K196)))</x:f>
        <x:v>1.6666666666666667</x:v>
      </x:c>
      <x:c r="N196" s="76" t="n">
        <x:f>IF(OR(J196="",H196="",K196=""),"",SQRT(J196*1000000000*(1-K196)/(H196*(1+K196)*(1-2*K196))))</x:f>
        <x:v>2357.0226039551585</x:v>
      </x:c>
      <x:c r="O196" s="75" t="n">
        <x:f>IF(OR(H196="",N196=""),"",H196*N196/1000000)</x:f>
        <x:v>1.885618083164127</x:v>
      </x:c>
      <x:c r="P196" s="74" t="n">
        <x:f>IF(OR(J196="",G196="",K196=""),"",J196*1000000000*(G196/1000)^3/(12*(1-K196^2)))</x:f>
        <x:v>5425347.222222222</x:v>
      </x:c>
      <x:c r="Q196" s="76" t="n">
        <x:f>IF(OR(I196="",P196=""),"",343.2^2/(2*PI())*SQRT(I196/P196))</x:f>
        <x:v>113.81930219424028</x:v>
      </x:c>
      <x:c r="R196" s="58" t="n">
        <x:v>9</x:v>
      </x:c>
      <x:c r="S196" s="62" t="n">
        <x:v>0.205</x:v>
      </x:c>
      <x:c r="T196" s="46" t="str">
        <x:v>20 °C / kuru nominal</x:v>
      </x:c>
      <x:c r="U196" s="46" t="str">
        <x:v>DÜŞÜK</x:v>
      </x:c>
      <x:c r="V196" s="46" t="str"/>
      <x:c r="W196" s="50" t="str">
        <x:v>650 kg/m³ üzeri genel AAC sınıfı; seçili üretici standardı/testiyle doğrulanmalıdır.</x:v>
      </x:c>
    </x:row>
    <x:row r="197">
      <x:c r="A197" s="46" t="str">
        <x:v>AAC-D800-T300</x:v>
      </x:c>
      <x:c r="B197" s="46" t="str">
        <x:v>AAC / Gazbeton</x:v>
      </x:c>
      <x:c r="C197" s="46" t="str">
        <x:v>Nominal kuru yoğunluk sınıfı 800 kg/m³</x:v>
      </x:c>
      <x:c r="D197" s="46" t="str">
        <x:v>GENERIC</x:v>
      </x:c>
      <x:c r="E197" s="46" t="str">
        <x:v>AAC D800</x:v>
      </x:c>
      <x:c r="F197" s="70" t="str">
        <x:v>ENGINEERING_EXTRAPOLATION</x:v>
      </x:c>
      <x:c r="G197" s="54" t="n">
        <x:v>300</x:v>
      </x:c>
      <x:c r="H197" s="54" t="n">
        <x:v>800</x:v>
      </x:c>
      <x:c r="I197" s="74" t="n">
        <x:f>IF(OR(G197="",H197=""),"",G197/1000*H197)</x:f>
        <x:v>240</x:v>
      </x:c>
      <x:c r="J197" s="75" t="n">
        <x:v>4</x:v>
      </x:c>
      <x:c r="K197" s="75" t="n">
        <x:v>0.2</x:v>
      </x:c>
      <x:c r="L197" s="75" t="n">
        <x:v>0.025</x:v>
      </x:c>
      <x:c r="M197" s="75" t="n">
        <x:f>IF(OR(J197="",K197=""),"",J197/(2*(1+K197)))</x:f>
        <x:v>1.6666666666666667</x:v>
      </x:c>
      <x:c r="N197" s="76" t="n">
        <x:f>IF(OR(J197="",H197="",K197=""),"",SQRT(J197*1000000000*(1-K197)/(H197*(1+K197)*(1-2*K197))))</x:f>
        <x:v>2357.0226039551585</x:v>
      </x:c>
      <x:c r="O197" s="75" t="n">
        <x:f>IF(OR(H197="",N197=""),"",H197*N197/1000000)</x:f>
        <x:v>1.885618083164127</x:v>
      </x:c>
      <x:c r="P197" s="74" t="n">
        <x:f>IF(OR(J197="",G197="",K197=""),"",J197*1000000000*(G197/1000)^3/(12*(1-K197^2)))</x:f>
        <x:v>9375000</x:v>
      </x:c>
      <x:c r="Q197" s="76" t="n">
        <x:f>IF(OR(I197="",P197=""),"",343.2^2/(2*PI())*SQRT(I197/P197))</x:f>
        <x:v>94.84941849520024</x:v>
      </x:c>
      <x:c r="R197" s="58" t="n">
        <x:v>9</x:v>
      </x:c>
      <x:c r="S197" s="62" t="n">
        <x:v>0.205</x:v>
      </x:c>
      <x:c r="T197" s="46" t="str">
        <x:v>20 °C / kuru nominal</x:v>
      </x:c>
      <x:c r="U197" s="46" t="str">
        <x:v>DÜŞÜK</x:v>
      </x:c>
      <x:c r="V197" s="46" t="str"/>
      <x:c r="W197" s="50" t="str">
        <x:v>650 kg/m³ üzeri genel AAC sınıfı; seçili üretici standardı/testiyle doğrulanmalıdır.</x:v>
      </x:c>
    </x:row>
    <x:row r="198">
      <x:c r="A198" s="46" t="str">
        <x:v>AAC-D800-T375</x:v>
      </x:c>
      <x:c r="B198" s="46" t="str">
        <x:v>AAC / Gazbeton</x:v>
      </x:c>
      <x:c r="C198" s="46" t="str">
        <x:v>Nominal kuru yoğunluk sınıfı 800 kg/m³</x:v>
      </x:c>
      <x:c r="D198" s="46" t="str">
        <x:v>GENERIC</x:v>
      </x:c>
      <x:c r="E198" s="46" t="str">
        <x:v>AAC D800</x:v>
      </x:c>
      <x:c r="F198" s="70" t="str">
        <x:v>ENGINEERING_EXTRAPOLATION</x:v>
      </x:c>
      <x:c r="G198" s="54" t="n">
        <x:v>375</x:v>
      </x:c>
      <x:c r="H198" s="54" t="n">
        <x:v>800</x:v>
      </x:c>
      <x:c r="I198" s="74" t="n">
        <x:f>IF(OR(G198="",H198=""),"",G198/1000*H198)</x:f>
        <x:v>300</x:v>
      </x:c>
      <x:c r="J198" s="75" t="n">
        <x:v>4</x:v>
      </x:c>
      <x:c r="K198" s="75" t="n">
        <x:v>0.2</x:v>
      </x:c>
      <x:c r="L198" s="75" t="n">
        <x:v>0.025</x:v>
      </x:c>
      <x:c r="M198" s="75" t="n">
        <x:f>IF(OR(J198="",K198=""),"",J198/(2*(1+K198)))</x:f>
        <x:v>1.6666666666666667</x:v>
      </x:c>
      <x:c r="N198" s="76" t="n">
        <x:f>IF(OR(J198="",H198="",K198=""),"",SQRT(J198*1000000000*(1-K198)/(H198*(1+K198)*(1-2*K198))))</x:f>
        <x:v>2357.0226039551585</x:v>
      </x:c>
      <x:c r="O198" s="75" t="n">
        <x:f>IF(OR(H198="",N198=""),"",H198*N198/1000000)</x:f>
        <x:v>1.885618083164127</x:v>
      </x:c>
      <x:c r="P198" s="74" t="n">
        <x:f>IF(OR(J198="",G198="",K198=""),"",J198*1000000000*(G198/1000)^3/(12*(1-K198^2)))</x:f>
        <x:v>18310546.875</x:v>
      </x:c>
      <x:c r="Q198" s="76" t="n">
        <x:f>IF(OR(I198="",P198=""),"",343.2^2/(2*PI())*SQRT(I198/P198))</x:f>
        <x:v>75.87953479616019</x:v>
      </x:c>
      <x:c r="R198" s="58" t="n">
        <x:v>9</x:v>
      </x:c>
      <x:c r="S198" s="62" t="n">
        <x:v>0.205</x:v>
      </x:c>
      <x:c r="T198" s="46" t="str">
        <x:v>20 °C / kuru nominal</x:v>
      </x:c>
      <x:c r="U198" s="46" t="str">
        <x:v>DÜŞÜK</x:v>
      </x:c>
      <x:c r="V198" s="46" t="str"/>
      <x:c r="W198" s="50" t="str">
        <x:v>650 kg/m³ üzeri genel AAC sınıfı; seçili üretici standardı/testiyle doğrulanmalıdır.</x:v>
      </x:c>
    </x:row>
    <x:row r="199">
      <x:c r="A199" s="46" t="str">
        <x:v>AAC-D800-T450</x:v>
      </x:c>
      <x:c r="B199" s="46" t="str">
        <x:v>AAC / Gazbeton</x:v>
      </x:c>
      <x:c r="C199" s="46" t="str">
        <x:v>Nominal kuru yoğunluk sınıfı 800 kg/m³</x:v>
      </x:c>
      <x:c r="D199" s="46" t="str">
        <x:v>GENERIC</x:v>
      </x:c>
      <x:c r="E199" s="46" t="str">
        <x:v>AAC D800</x:v>
      </x:c>
      <x:c r="F199" s="70" t="str">
        <x:v>ENGINEERING_EXTRAPOLATION</x:v>
      </x:c>
      <x:c r="G199" s="54" t="n">
        <x:v>450</x:v>
      </x:c>
      <x:c r="H199" s="54" t="n">
        <x:v>800</x:v>
      </x:c>
      <x:c r="I199" s="74" t="n">
        <x:f>IF(OR(G199="",H199=""),"",G199/1000*H199)</x:f>
        <x:v>360</x:v>
      </x:c>
      <x:c r="J199" s="75" t="n">
        <x:v>4</x:v>
      </x:c>
      <x:c r="K199" s="75" t="n">
        <x:v>0.2</x:v>
      </x:c>
      <x:c r="L199" s="75" t="n">
        <x:v>0.025</x:v>
      </x:c>
      <x:c r="M199" s="75" t="n">
        <x:f>IF(OR(J199="",K199=""),"",J199/(2*(1+K199)))</x:f>
        <x:v>1.6666666666666667</x:v>
      </x:c>
      <x:c r="N199" s="76" t="n">
        <x:f>IF(OR(J199="",H199="",K199=""),"",SQRT(J199*1000000000*(1-K199)/(H199*(1+K199)*(1-2*K199))))</x:f>
        <x:v>2357.0226039551585</x:v>
      </x:c>
      <x:c r="O199" s="75" t="n">
        <x:f>IF(OR(H199="",N199=""),"",H199*N199/1000000)</x:f>
        <x:v>1.885618083164127</x:v>
      </x:c>
      <x:c r="P199" s="74" t="n">
        <x:f>IF(OR(J199="",G199="",K199=""),"",J199*1000000000*(G199/1000)^3/(12*(1-K199^2)))</x:f>
        <x:v>31640625.000000007</x:v>
      </x:c>
      <x:c r="Q199" s="76" t="n">
        <x:f>IF(OR(I199="",P199=""),"",343.2^2/(2*PI())*SQRT(I199/P199))</x:f>
        <x:v>63.232945663466815</x:v>
      </x:c>
      <x:c r="R199" s="58" t="n">
        <x:v>9</x:v>
      </x:c>
      <x:c r="S199" s="62" t="n">
        <x:v>0.205</x:v>
      </x:c>
      <x:c r="T199" s="46" t="str">
        <x:v>20 °C / kuru nominal</x:v>
      </x:c>
      <x:c r="U199" s="46" t="str">
        <x:v>DÜŞÜK</x:v>
      </x:c>
      <x:c r="V199" s="46" t="str"/>
      <x:c r="W199" s="50" t="str">
        <x:v>650 kg/m³ üzeri genel AAC sınıfı; seçili üretici standardı/testiyle doğrulanmalıdır.</x:v>
      </x:c>
    </x:row>
    <x:row r="200">
      <x:c r="A200" s="46" t="str">
        <x:v>AAC-D800-T500</x:v>
      </x:c>
      <x:c r="B200" s="46" t="str">
        <x:v>AAC / Gazbeton</x:v>
      </x:c>
      <x:c r="C200" s="46" t="str">
        <x:v>Nominal kuru yoğunluk sınıfı 800 kg/m³</x:v>
      </x:c>
      <x:c r="D200" s="46" t="str">
        <x:v>GENERIC</x:v>
      </x:c>
      <x:c r="E200" s="46" t="str">
        <x:v>AAC D800</x:v>
      </x:c>
      <x:c r="F200" s="70" t="str">
        <x:v>ENGINEERING_EXTRAPOLATION</x:v>
      </x:c>
      <x:c r="G200" s="54" t="n">
        <x:v>500</x:v>
      </x:c>
      <x:c r="H200" s="54" t="n">
        <x:v>800</x:v>
      </x:c>
      <x:c r="I200" s="74" t="n">
        <x:f>IF(OR(G200="",H200=""),"",G200/1000*H200)</x:f>
        <x:v>400</x:v>
      </x:c>
      <x:c r="J200" s="75" t="n">
        <x:v>4</x:v>
      </x:c>
      <x:c r="K200" s="75" t="n">
        <x:v>0.2</x:v>
      </x:c>
      <x:c r="L200" s="75" t="n">
        <x:v>0.025</x:v>
      </x:c>
      <x:c r="M200" s="75" t="n">
        <x:f>IF(OR(J200="",K200=""),"",J200/(2*(1+K200)))</x:f>
        <x:v>1.6666666666666667</x:v>
      </x:c>
      <x:c r="N200" s="76" t="n">
        <x:f>IF(OR(J200="",H200="",K200=""),"",SQRT(J200*1000000000*(1-K200)/(H200*(1+K200)*(1-2*K200))))</x:f>
        <x:v>2357.0226039551585</x:v>
      </x:c>
      <x:c r="O200" s="75" t="n">
        <x:f>IF(OR(H200="",N200=""),"",H200*N200/1000000)</x:f>
        <x:v>1.885618083164127</x:v>
      </x:c>
      <x:c r="P200" s="74" t="n">
        <x:f>IF(OR(J200="",G200="",K200=""),"",J200*1000000000*(G200/1000)^3/(12*(1-K200^2)))</x:f>
        <x:v>43402777.777777776</x:v>
      </x:c>
      <x:c r="Q200" s="76" t="n">
        <x:f>IF(OR(I200="",P200=""),"",343.2^2/(2*PI())*SQRT(I200/P200))</x:f>
        <x:v>56.90965109712014</x:v>
      </x:c>
      <x:c r="R200" s="58" t="n">
        <x:v>9</x:v>
      </x:c>
      <x:c r="S200" s="62" t="n">
        <x:v>0.205</x:v>
      </x:c>
      <x:c r="T200" s="46" t="str">
        <x:v>20 °C / kuru nominal</x:v>
      </x:c>
      <x:c r="U200" s="46" t="str">
        <x:v>DÜŞÜK</x:v>
      </x:c>
      <x:c r="V200" s="46" t="str"/>
      <x:c r="W200" s="50" t="str">
        <x:v>650 kg/m³ üzeri genel AAC sınıfı; seçili üretici standardı/testiyle doğrulanmalıdır.</x:v>
      </x:c>
    </x:row>
    <x:row r="201">
      <x:c r="A201" s="46" t="str">
        <x:v>AAC-HH-STANDARD-75</x:v>
      </x:c>
      <x:c r="B201" s="46" t="str">
        <x:v>AAC / Gazbeton</x:v>
      </x:c>
      <x:c r="C201" s="46" t="str">
        <x:v>Üretici sınıfı</x:v>
      </x:c>
      <x:c r="D201" s="46" t="str">
        <x:v>H+H Celcon</x:v>
      </x:c>
      <x:c r="E201" s="46" t="str">
        <x:v>Standard</x:v>
      </x:c>
      <x:c r="F201" s="70" t="str">
        <x:v>MANUFACTURER_VERIFIED_PARTIAL</x:v>
      </x:c>
      <x:c r="G201" s="54" t="n">
        <x:v>75</x:v>
      </x:c>
      <x:c r="H201" s="54" t="n">
        <x:v>600</x:v>
      </x:c>
      <x:c r="I201" s="74" t="n">
        <x:f>IF(OR(G201="",H201=""),"",G201/1000*H201)</x:f>
        <x:v>45</x:v>
      </x:c>
      <x:c r="J201" s="75" t="n">
        <x:v>2.8</x:v>
      </x:c>
      <x:c r="K201" s="75" t="n">
        <x:v>0.2</x:v>
      </x:c>
      <x:c r="L201" s="75" t="n">
        <x:v>0.025</x:v>
      </x:c>
      <x:c r="M201" s="75" t="n">
        <x:f>IF(OR(J201="",K201=""),"",J201/(2*(1+K201)))</x:f>
        <x:v>1.1666666666666667</x:v>
      </x:c>
      <x:c r="N201" s="76" t="n">
        <x:f>IF(OR(J201="",H201="",K201=""),"",SQRT(J201*1000000000*(1-K201)/(H201*(1+K201)*(1-2*K201))))</x:f>
        <x:v>2277.1001702132444</x:v>
      </x:c>
      <x:c r="O201" s="75" t="n">
        <x:f>IF(OR(H201="",N201=""),"",H201*N201/1000000)</x:f>
        <x:v>1.3662601021279466</x:v>
      </x:c>
      <x:c r="P201" s="74" t="n">
        <x:f>IF(OR(J201="",G201="",K201=""),"",J201*1000000000*(G201/1000)^3/(12*(1-K201^2)))</x:f>
        <x:v>102539.0625</x:v>
      </x:c>
      <x:c r="Q201" s="76" t="n">
        <x:f>IF(OR(I201="",P201=""),"",343.2^2/(2*PI())*SQRT(I201/P201))</x:f>
        <x:v>392.7139021631243</x:v>
      </x:c>
      <x:c r="R201" s="58" t="n">
        <x:v>3.6</x:v>
      </x:c>
      <x:c r="S201" s="62" t="n">
        <x:v>0.15</x:v>
      </x:c>
      <x:c r="T201" s="46" t="str">
        <x:v>20 °C / kuru nominal</x:v>
      </x:c>
      <x:c r="U201" s="46" t="str">
        <x:v>YÜKSEK (ρ,fck,λ) / DÜŞÜK (E,η)</x:v>
      </x:c>
      <x:c r="V201" s="46" t="str">
        <x:v>https://www.hhcelcon.co.uk/products-applications/products/standard-grade-blocks</x:v>
      </x:c>
      <x:c r="W201" s="50" t="str">
        <x:v>Yoğunluk, basınç dayanımı ve λ üretici verisi; dinamik E ve η hesap başlangıç varsayımıdır.</x:v>
      </x:c>
    </x:row>
    <x:row r="202">
      <x:c r="A202" s="46" t="str">
        <x:v>AAC-HH-STANDARD-100</x:v>
      </x:c>
      <x:c r="B202" s="46" t="str">
        <x:v>AAC / Gazbeton</x:v>
      </x:c>
      <x:c r="C202" s="46" t="str">
        <x:v>Üretici sınıfı</x:v>
      </x:c>
      <x:c r="D202" s="46" t="str">
        <x:v>H+H Celcon</x:v>
      </x:c>
      <x:c r="E202" s="46" t="str">
        <x:v>Standard</x:v>
      </x:c>
      <x:c r="F202" s="70" t="str">
        <x:v>MANUFACTURER_VERIFIED_PARTIAL</x:v>
      </x:c>
      <x:c r="G202" s="54" t="n">
        <x:v>100</x:v>
      </x:c>
      <x:c r="H202" s="54" t="n">
        <x:v>600</x:v>
      </x:c>
      <x:c r="I202" s="74" t="n">
        <x:f>IF(OR(G202="",H202=""),"",G202/1000*H202)</x:f>
        <x:v>60</x:v>
      </x:c>
      <x:c r="J202" s="75" t="n">
        <x:v>2.8</x:v>
      </x:c>
      <x:c r="K202" s="75" t="n">
        <x:v>0.2</x:v>
      </x:c>
      <x:c r="L202" s="75" t="n">
        <x:v>0.025</x:v>
      </x:c>
      <x:c r="M202" s="75" t="n">
        <x:f>IF(OR(J202="",K202=""),"",J202/(2*(1+K202)))</x:f>
        <x:v>1.1666666666666667</x:v>
      </x:c>
      <x:c r="N202" s="76" t="n">
        <x:f>IF(OR(J202="",H202="",K202=""),"",SQRT(J202*1000000000*(1-K202)/(H202*(1+K202)*(1-2*K202))))</x:f>
        <x:v>2277.1001702132444</x:v>
      </x:c>
      <x:c r="O202" s="75" t="n">
        <x:f>IF(OR(H202="",N202=""),"",H202*N202/1000000)</x:f>
        <x:v>1.3662601021279466</x:v>
      </x:c>
      <x:c r="P202" s="74" t="n">
        <x:f>IF(OR(J202="",G202="",K202=""),"",J202*1000000000*(G202/1000)^3/(12*(1-K202^2)))</x:f>
        <x:v>243055.5555555556</x:v>
      </x:c>
      <x:c r="Q202" s="76" t="n">
        <x:f>IF(OR(I202="",P202=""),"",343.2^2/(2*PI())*SQRT(I202/P202))</x:f>
        <x:v>294.5354266223432</x:v>
      </x:c>
      <x:c r="R202" s="58" t="n">
        <x:v>3.6</x:v>
      </x:c>
      <x:c r="S202" s="62" t="n">
        <x:v>0.15</x:v>
      </x:c>
      <x:c r="T202" s="46" t="str">
        <x:v>20 °C / kuru nominal</x:v>
      </x:c>
      <x:c r="U202" s="46" t="str">
        <x:v>YÜKSEK (ρ,fck,λ) / DÜŞÜK (E,η)</x:v>
      </x:c>
      <x:c r="V202" s="46" t="str">
        <x:v>https://www.hhcelcon.co.uk/products-applications/products/standard-grade-blocks</x:v>
      </x:c>
      <x:c r="W202" s="50" t="str">
        <x:v>Yoğunluk, basınç dayanımı ve λ üretici verisi; dinamik E ve η hesap başlangıç varsayımıdır.</x:v>
      </x:c>
    </x:row>
    <x:row r="203">
      <x:c r="A203" s="46" t="str">
        <x:v>AAC-HH-STANDARD-140</x:v>
      </x:c>
      <x:c r="B203" s="46" t="str">
        <x:v>AAC / Gazbeton</x:v>
      </x:c>
      <x:c r="C203" s="46" t="str">
        <x:v>Üretici sınıfı</x:v>
      </x:c>
      <x:c r="D203" s="46" t="str">
        <x:v>H+H Celcon</x:v>
      </x:c>
      <x:c r="E203" s="46" t="str">
        <x:v>Standard</x:v>
      </x:c>
      <x:c r="F203" s="70" t="str">
        <x:v>MANUFACTURER_VERIFIED_PARTIAL</x:v>
      </x:c>
      <x:c r="G203" s="54" t="n">
        <x:v>140</x:v>
      </x:c>
      <x:c r="H203" s="54" t="n">
        <x:v>600</x:v>
      </x:c>
      <x:c r="I203" s="74" t="n">
        <x:f>IF(OR(G203="",H203=""),"",G203/1000*H203)</x:f>
        <x:v>84.00000000000001</x:v>
      </x:c>
      <x:c r="J203" s="75" t="n">
        <x:v>2.8</x:v>
      </x:c>
      <x:c r="K203" s="75" t="n">
        <x:v>0.2</x:v>
      </x:c>
      <x:c r="L203" s="75" t="n">
        <x:v>0.025</x:v>
      </x:c>
      <x:c r="M203" s="75" t="n">
        <x:f>IF(OR(J203="",K203=""),"",J203/(2*(1+K203)))</x:f>
        <x:v>1.1666666666666667</x:v>
      </x:c>
      <x:c r="N203" s="76" t="n">
        <x:f>IF(OR(J203="",H203="",K203=""),"",SQRT(J203*1000000000*(1-K203)/(H203*(1+K203)*(1-2*K203))))</x:f>
        <x:v>2277.1001702132444</x:v>
      </x:c>
      <x:c r="O203" s="75" t="n">
        <x:f>IF(OR(H203="",N203=""),"",H203*N203/1000000)</x:f>
        <x:v>1.3662601021279466</x:v>
      </x:c>
      <x:c r="P203" s="74" t="n">
        <x:f>IF(OR(J203="",G203="",K203=""),"",J203*1000000000*(G203/1000)^3/(12*(1-K203^2)))</x:f>
        <x:v>666944.4444444446</x:v>
      </x:c>
      <x:c r="Q203" s="76" t="n">
        <x:f>IF(OR(I203="",P203=""),"",343.2^2/(2*PI())*SQRT(I203/P203))</x:f>
        <x:v>210.38244758738801</x:v>
      </x:c>
      <x:c r="R203" s="58" t="n">
        <x:v>3.6</x:v>
      </x:c>
      <x:c r="S203" s="62" t="n">
        <x:v>0.15</x:v>
      </x:c>
      <x:c r="T203" s="46" t="str">
        <x:v>20 °C / kuru nominal</x:v>
      </x:c>
      <x:c r="U203" s="46" t="str">
        <x:v>YÜKSEK (ρ,fck,λ) / DÜŞÜK (E,η)</x:v>
      </x:c>
      <x:c r="V203" s="46" t="str">
        <x:v>https://www.hhcelcon.co.uk/products-applications/products/standard-grade-blocks</x:v>
      </x:c>
      <x:c r="W203" s="50" t="str">
        <x:v>Yoğunluk, basınç dayanımı ve λ üretici verisi; dinamik E ve η hesap başlangıç varsayımıdır.</x:v>
      </x:c>
    </x:row>
    <x:row r="204">
      <x:c r="A204" s="46" t="str">
        <x:v>AAC-HH-STANDARD-215</x:v>
      </x:c>
      <x:c r="B204" s="46" t="str">
        <x:v>AAC / Gazbeton</x:v>
      </x:c>
      <x:c r="C204" s="46" t="str">
        <x:v>Üretici sınıfı</x:v>
      </x:c>
      <x:c r="D204" s="46" t="str">
        <x:v>H+H Celcon</x:v>
      </x:c>
      <x:c r="E204" s="46" t="str">
        <x:v>Standard</x:v>
      </x:c>
      <x:c r="F204" s="70" t="str">
        <x:v>MANUFACTURER_VERIFIED_PARTIAL</x:v>
      </x:c>
      <x:c r="G204" s="54" t="n">
        <x:v>215</x:v>
      </x:c>
      <x:c r="H204" s="54" t="n">
        <x:v>600</x:v>
      </x:c>
      <x:c r="I204" s="74" t="n">
        <x:f>IF(OR(G204="",H204=""),"",G204/1000*H204)</x:f>
        <x:v>129</x:v>
      </x:c>
      <x:c r="J204" s="75" t="n">
        <x:v>2.8</x:v>
      </x:c>
      <x:c r="K204" s="75" t="n">
        <x:v>0.2</x:v>
      </x:c>
      <x:c r="L204" s="75" t="n">
        <x:v>0.025</x:v>
      </x:c>
      <x:c r="M204" s="75" t="n">
        <x:f>IF(OR(J204="",K204=""),"",J204/(2*(1+K204)))</x:f>
        <x:v>1.1666666666666667</x:v>
      </x:c>
      <x:c r="N204" s="76" t="n">
        <x:f>IF(OR(J204="",H204="",K204=""),"",SQRT(J204*1000000000*(1-K204)/(H204*(1+K204)*(1-2*K204))))</x:f>
        <x:v>2277.1001702132444</x:v>
      </x:c>
      <x:c r="O204" s="75" t="n">
        <x:f>IF(OR(H204="",N204=""),"",H204*N204/1000000)</x:f>
        <x:v>1.3662601021279466</x:v>
      </x:c>
      <x:c r="P204" s="74" t="n">
        <x:f>IF(OR(J204="",G204="",K204=""),"",J204*1000000000*(G204/1000)^3/(12*(1-K204^2)))</x:f>
        <x:v>2415577.256944444</x:v>
      </x:c>
      <x:c r="Q204" s="76" t="n">
        <x:f>IF(OR(I204="",P204=""),"",343.2^2/(2*PI())*SQRT(I204/P204))</x:f>
        <x:v>136.9932216848108</x:v>
      </x:c>
      <x:c r="R204" s="58" t="n">
        <x:v>3.6</x:v>
      </x:c>
      <x:c r="S204" s="62" t="n">
        <x:v>0.15</x:v>
      </x:c>
      <x:c r="T204" s="46" t="str">
        <x:v>20 °C / kuru nominal</x:v>
      </x:c>
      <x:c r="U204" s="46" t="str">
        <x:v>YÜKSEK (ρ,fck,λ) / DÜŞÜK (E,η)</x:v>
      </x:c>
      <x:c r="V204" s="46" t="str">
        <x:v>https://www.hhcelcon.co.uk/products-applications/products/standard-grade-blocks</x:v>
      </x:c>
      <x:c r="W204" s="50" t="str">
        <x:v>Yoğunluk, basınç dayanımı ve λ üretici verisi; dinamik E ve η hesap başlangıç varsayımıdır.</x:v>
      </x:c>
    </x:row>
    <x:row r="205">
      <x:c r="A205" s="46" t="str">
        <x:v>AAC-HH-SOLAR-100</x:v>
      </x:c>
      <x:c r="B205" s="46" t="str">
        <x:v>AAC / Gazbeton</x:v>
      </x:c>
      <x:c r="C205" s="46" t="str">
        <x:v>Üretici sınıfı</x:v>
      </x:c>
      <x:c r="D205" s="46" t="str">
        <x:v>H+H Celcon</x:v>
      </x:c>
      <x:c r="E205" s="46" t="str">
        <x:v>Solar</x:v>
      </x:c>
      <x:c r="F205" s="70" t="str">
        <x:v>MANUFACTURER_VERIFIED_PARTIAL</x:v>
      </x:c>
      <x:c r="G205" s="54" t="n">
        <x:v>100</x:v>
      </x:c>
      <x:c r="H205" s="54" t="n">
        <x:v>460</x:v>
      </x:c>
      <x:c r="I205" s="74" t="n">
        <x:f>IF(OR(G205="",H205=""),"",G205/1000*H205)</x:f>
        <x:v>46</x:v>
      </x:c>
      <x:c r="J205" s="75" t="n">
        <x:v>2.8</x:v>
      </x:c>
      <x:c r="K205" s="75" t="n">
        <x:v>0.2</x:v>
      </x:c>
      <x:c r="L205" s="75" t="n">
        <x:v>0.025</x:v>
      </x:c>
      <x:c r="M205" s="75" t="n">
        <x:f>IF(OR(J205="",K205=""),"",J205/(2*(1+K205)))</x:f>
        <x:v>1.1666666666666667</x:v>
      </x:c>
      <x:c r="N205" s="76" t="n">
        <x:f>IF(OR(J205="",H205="",K205=""),"",SQRT(J205*1000000000*(1-K205)/(H205*(1+K205)*(1-2*K205))))</x:f>
        <x:v>2600.63165868498</x:v>
      </x:c>
      <x:c r="O205" s="75" t="n">
        <x:f>IF(OR(H205="",N205=""),"",H205*N205/1000000)</x:f>
        <x:v>1.1962905629950906</x:v>
      </x:c>
      <x:c r="P205" s="74" t="n">
        <x:f>IF(OR(J205="",G205="",K205=""),"",J205*1000000000*(G205/1000)^3/(12*(1-K205^2)))</x:f>
        <x:v>243055.5555555556</x:v>
      </x:c>
      <x:c r="Q205" s="76" t="n">
        <x:f>IF(OR(I205="",P205=""),"",343.2^2/(2*PI())*SQRT(I205/P205))</x:f>
        <x:v>257.8937574091918</x:v>
      </x:c>
      <x:c r="R205" s="58" t="n">
        <x:v>2.9</x:v>
      </x:c>
      <x:c r="S205" s="62" t="n">
        <x:v>0.11</x:v>
      </x:c>
      <x:c r="T205" s="46" t="str">
        <x:v>20 °C / kuru nominal</x:v>
      </x:c>
      <x:c r="U205" s="46" t="str">
        <x:v>YÜKSEK (ρ,fck,λ) / DÜŞÜK (E,η)</x:v>
      </x:c>
      <x:c r="V205" s="46" t="str">
        <x:v>https://www.hhcelcon.co.uk/products-applications/products/solar-grade-blocks</x:v>
      </x:c>
      <x:c r="W205" s="50" t="str">
        <x:v>Yoğunluk, basınç dayanımı ve λ üretici verisi; dinamik E ve η hesap başlangıç varsayımıdır.</x:v>
      </x:c>
    </x:row>
    <x:row r="206">
      <x:c r="A206" s="46" t="str">
        <x:v>AAC-HH-SOLAR-140</x:v>
      </x:c>
      <x:c r="B206" s="46" t="str">
        <x:v>AAC / Gazbeton</x:v>
      </x:c>
      <x:c r="C206" s="46" t="str">
        <x:v>Üretici sınıfı</x:v>
      </x:c>
      <x:c r="D206" s="46" t="str">
        <x:v>H+H Celcon</x:v>
      </x:c>
      <x:c r="E206" s="46" t="str">
        <x:v>Solar</x:v>
      </x:c>
      <x:c r="F206" s="70" t="str">
        <x:v>MANUFACTURER_VERIFIED_PARTIAL</x:v>
      </x:c>
      <x:c r="G206" s="54" t="n">
        <x:v>140</x:v>
      </x:c>
      <x:c r="H206" s="54" t="n">
        <x:v>460</x:v>
      </x:c>
      <x:c r="I206" s="74" t="n">
        <x:f>IF(OR(G206="",H206=""),"",G206/1000*H206)</x:f>
        <x:v>64.4</x:v>
      </x:c>
      <x:c r="J206" s="75" t="n">
        <x:v>2.8</x:v>
      </x:c>
      <x:c r="K206" s="75" t="n">
        <x:v>0.2</x:v>
      </x:c>
      <x:c r="L206" s="75" t="n">
        <x:v>0.025</x:v>
      </x:c>
      <x:c r="M206" s="75" t="n">
        <x:f>IF(OR(J206="",K206=""),"",J206/(2*(1+K206)))</x:f>
        <x:v>1.1666666666666667</x:v>
      </x:c>
      <x:c r="N206" s="76" t="n">
        <x:f>IF(OR(J206="",H206="",K206=""),"",SQRT(J206*1000000000*(1-K206)/(H206*(1+K206)*(1-2*K206))))</x:f>
        <x:v>2600.63165868498</x:v>
      </x:c>
      <x:c r="O206" s="75" t="n">
        <x:f>IF(OR(H206="",N206=""),"",H206*N206/1000000)</x:f>
        <x:v>1.1962905629950906</x:v>
      </x:c>
      <x:c r="P206" s="74" t="n">
        <x:f>IF(OR(J206="",G206="",K206=""),"",J206*1000000000*(G206/1000)^3/(12*(1-K206^2)))</x:f>
        <x:v>666944.4444444446</x:v>
      </x:c>
      <x:c r="Q206" s="76" t="n">
        <x:f>IF(OR(I206="",P206=""),"",343.2^2/(2*PI())*SQRT(I206/P206))</x:f>
        <x:v>184.20982672085128</x:v>
      </x:c>
      <x:c r="R206" s="58" t="n">
        <x:v>2.9</x:v>
      </x:c>
      <x:c r="S206" s="62" t="n">
        <x:v>0.11</x:v>
      </x:c>
      <x:c r="T206" s="46" t="str">
        <x:v>20 °C / kuru nominal</x:v>
      </x:c>
      <x:c r="U206" s="46" t="str">
        <x:v>YÜKSEK (ρ,fck,λ) / DÜŞÜK (E,η)</x:v>
      </x:c>
      <x:c r="V206" s="46" t="str">
        <x:v>https://www.hhcelcon.co.uk/products-applications/products/solar-grade-blocks</x:v>
      </x:c>
      <x:c r="W206" s="50" t="str">
        <x:v>Yoğunluk, basınç dayanımı ve λ üretici verisi; dinamik E ve η hesap başlangıç varsayımıdır.</x:v>
      </x:c>
    </x:row>
    <x:row r="207">
      <x:c r="A207" s="46" t="str">
        <x:v>AAC-HH-SOLAR-215</x:v>
      </x:c>
      <x:c r="B207" s="46" t="str">
        <x:v>AAC / Gazbeton</x:v>
      </x:c>
      <x:c r="C207" s="46" t="str">
        <x:v>Üretici sınıfı</x:v>
      </x:c>
      <x:c r="D207" s="46" t="str">
        <x:v>H+H Celcon</x:v>
      </x:c>
      <x:c r="E207" s="46" t="str">
        <x:v>Solar</x:v>
      </x:c>
      <x:c r="F207" s="70" t="str">
        <x:v>MANUFACTURER_VERIFIED_PARTIAL</x:v>
      </x:c>
      <x:c r="G207" s="54" t="n">
        <x:v>215</x:v>
      </x:c>
      <x:c r="H207" s="54" t="n">
        <x:v>460</x:v>
      </x:c>
      <x:c r="I207" s="74" t="n">
        <x:f>IF(OR(G207="",H207=""),"",G207/1000*H207)</x:f>
        <x:v>98.89999999999999</x:v>
      </x:c>
      <x:c r="J207" s="75" t="n">
        <x:v>2.8</x:v>
      </x:c>
      <x:c r="K207" s="75" t="n">
        <x:v>0.2</x:v>
      </x:c>
      <x:c r="L207" s="75" t="n">
        <x:v>0.025</x:v>
      </x:c>
      <x:c r="M207" s="75" t="n">
        <x:f>IF(OR(J207="",K207=""),"",J207/(2*(1+K207)))</x:f>
        <x:v>1.1666666666666667</x:v>
      </x:c>
      <x:c r="N207" s="76" t="n">
        <x:f>IF(OR(J207="",H207="",K207=""),"",SQRT(J207*1000000000*(1-K207)/(H207*(1+K207)*(1-2*K207))))</x:f>
        <x:v>2600.63165868498</x:v>
      </x:c>
      <x:c r="O207" s="75" t="n">
        <x:f>IF(OR(H207="",N207=""),"",H207*N207/1000000)</x:f>
        <x:v>1.1962905629950906</x:v>
      </x:c>
      <x:c r="P207" s="74" t="n">
        <x:f>IF(OR(J207="",G207="",K207=""),"",J207*1000000000*(G207/1000)^3/(12*(1-K207^2)))</x:f>
        <x:v>2415577.256944444</x:v>
      </x:c>
      <x:c r="Q207" s="76" t="n">
        <x:f>IF(OR(I207="",P207=""),"",343.2^2/(2*PI())*SQRT(I207/P207))</x:f>
        <x:v>119.95058484148457</x:v>
      </x:c>
      <x:c r="R207" s="58" t="n">
        <x:v>2.9</x:v>
      </x:c>
      <x:c r="S207" s="62" t="n">
        <x:v>0.11</x:v>
      </x:c>
      <x:c r="T207" s="46" t="str">
        <x:v>20 °C / kuru nominal</x:v>
      </x:c>
      <x:c r="U207" s="46" t="str">
        <x:v>YÜKSEK (ρ,fck,λ) / DÜŞÜK (E,η)</x:v>
      </x:c>
      <x:c r="V207" s="46" t="str">
        <x:v>https://www.hhcelcon.co.uk/products-applications/products/solar-grade-blocks</x:v>
      </x:c>
      <x:c r="W207" s="50" t="str">
        <x:v>Yoğunluk, basınç dayanımı ve λ üretici verisi; dinamik E ve η hesap başlangıç varsayımıdır.</x:v>
      </x:c>
    </x:row>
    <x:row r="208">
      <x:c r="A208" s="46" t="str">
        <x:v>AAC-HH-HIGH-STRENGTH-100</x:v>
      </x:c>
      <x:c r="B208" s="46" t="str">
        <x:v>AAC / Gazbeton</x:v>
      </x:c>
      <x:c r="C208" s="46" t="str">
        <x:v>Üretici sınıfı</x:v>
      </x:c>
      <x:c r="D208" s="46" t="str">
        <x:v>H+H Celcon</x:v>
      </x:c>
      <x:c r="E208" s="46" t="str">
        <x:v>High Strength</x:v>
      </x:c>
      <x:c r="F208" s="70" t="str">
        <x:v>MANUFACTURER_VERIFIED_PARTIAL</x:v>
      </x:c>
      <x:c r="G208" s="54" t="n">
        <x:v>100</x:v>
      </x:c>
      <x:c r="H208" s="54" t="n">
        <x:v>730</x:v>
      </x:c>
      <x:c r="I208" s="74" t="n">
        <x:f>IF(OR(G208="",H208=""),"",G208/1000*H208)</x:f>
        <x:v>73</x:v>
      </x:c>
      <x:c r="J208" s="75" t="n">
        <x:v>3.7</x:v>
      </x:c>
      <x:c r="K208" s="75" t="n">
        <x:v>0.2</x:v>
      </x:c>
      <x:c r="L208" s="75" t="n">
        <x:v>0.025</x:v>
      </x:c>
      <x:c r="M208" s="75" t="n">
        <x:f>IF(OR(J208="",K208=""),"",J208/(2*(1+K208)))</x:f>
        <x:v>1.5416666666666667</x:v>
      </x:c>
      <x:c r="N208" s="76" t="n">
        <x:f>IF(OR(J208="",H208="",K208=""),"",SQRT(J208*1000000000*(1-K208)/(H208*(1+K208)*(1-2*K208))))</x:f>
        <x:v>2373.111682225805</x:v>
      </x:c>
      <x:c r="O208" s="75" t="n">
        <x:f>IF(OR(H208="",N208=""),"",H208*N208/1000000)</x:f>
        <x:v>1.7323715280248375</x:v>
      </x:c>
      <x:c r="P208" s="74" t="n">
        <x:f>IF(OR(J208="",G208="",K208=""),"",J208*1000000000*(G208/1000)^3/(12*(1-K208^2)))</x:f>
        <x:v>321180.5555555556</x:v>
      </x:c>
      <x:c r="Q208" s="76" t="n">
        <x:f>IF(OR(I208="",P208=""),"",343.2^2/(2*PI())*SQRT(I208/P208))</x:f>
        <x:v>282.6190925268688</x:v>
      </x:c>
      <x:c r="R208" s="58" t="n">
        <x:v>7.3</x:v>
      </x:c>
      <x:c r="S208" s="62" t="n">
        <x:v>0.18</x:v>
      </x:c>
      <x:c r="T208" s="46" t="str">
        <x:v>20 °C / kuru nominal</x:v>
      </x:c>
      <x:c r="U208" s="46" t="str">
        <x:v>YÜKSEK (ρ,fck,λ) / DÜŞÜK (E,η)</x:v>
      </x:c>
      <x:c r="V208" s="46" t="str">
        <x:v>https://www.hhcelcon.co.uk/products-applications/products/high-strength-grade-blocks</x:v>
      </x:c>
      <x:c r="W208" s="50" t="str">
        <x:v>Yoğunluk, basınç dayanımı ve λ üretici verisi; dinamik E ve η hesap başlangıç varsayımıdır.</x:v>
      </x:c>
    </x:row>
    <x:row r="209">
      <x:c r="A209" s="46" t="str">
        <x:v>AAC-HH-HIGH-STRENGTH-140</x:v>
      </x:c>
      <x:c r="B209" s="46" t="str">
        <x:v>AAC / Gazbeton</x:v>
      </x:c>
      <x:c r="C209" s="46" t="str">
        <x:v>Üretici sınıfı</x:v>
      </x:c>
      <x:c r="D209" s="46" t="str">
        <x:v>H+H Celcon</x:v>
      </x:c>
      <x:c r="E209" s="46" t="str">
        <x:v>High Strength</x:v>
      </x:c>
      <x:c r="F209" s="70" t="str">
        <x:v>MANUFACTURER_VERIFIED_PARTIAL</x:v>
      </x:c>
      <x:c r="G209" s="54" t="n">
        <x:v>140</x:v>
      </x:c>
      <x:c r="H209" s="54" t="n">
        <x:v>730</x:v>
      </x:c>
      <x:c r="I209" s="74" t="n">
        <x:f>IF(OR(G209="",H209=""),"",G209/1000*H209)</x:f>
        <x:v>102.2</x:v>
      </x:c>
      <x:c r="J209" s="75" t="n">
        <x:v>3.7</x:v>
      </x:c>
      <x:c r="K209" s="75" t="n">
        <x:v>0.2</x:v>
      </x:c>
      <x:c r="L209" s="75" t="n">
        <x:v>0.025</x:v>
      </x:c>
      <x:c r="M209" s="75" t="n">
        <x:f>IF(OR(J209="",K209=""),"",J209/(2*(1+K209)))</x:f>
        <x:v>1.5416666666666667</x:v>
      </x:c>
      <x:c r="N209" s="76" t="n">
        <x:f>IF(OR(J209="",H209="",K209=""),"",SQRT(J209*1000000000*(1-K209)/(H209*(1+K209)*(1-2*K209))))</x:f>
        <x:v>2373.111682225805</x:v>
      </x:c>
      <x:c r="O209" s="75" t="n">
        <x:f>IF(OR(H209="",N209=""),"",H209*N209/1000000)</x:f>
        <x:v>1.7323715280248375</x:v>
      </x:c>
      <x:c r="P209" s="74" t="n">
        <x:f>IF(OR(J209="",G209="",K209=""),"",J209*1000000000*(G209/1000)^3/(12*(1-K209^2)))</x:f>
        <x:v>881319.4444444448</x:v>
      </x:c>
      <x:c r="Q209" s="76" t="n">
        <x:f>IF(OR(I209="",P209=""),"",343.2^2/(2*PI())*SQRT(I209/P209))</x:f>
        <x:v>201.87078037633486</x:v>
      </x:c>
      <x:c r="R209" s="58" t="n">
        <x:v>7.3</x:v>
      </x:c>
      <x:c r="S209" s="62" t="n">
        <x:v>0.18</x:v>
      </x:c>
      <x:c r="T209" s="46" t="str">
        <x:v>20 °C / kuru nominal</x:v>
      </x:c>
      <x:c r="U209" s="46" t="str">
        <x:v>YÜKSEK (ρ,fck,λ) / DÜŞÜK (E,η)</x:v>
      </x:c>
      <x:c r="V209" s="46" t="str">
        <x:v>https://www.hhcelcon.co.uk/products-applications/products/high-strength-grade-blocks</x:v>
      </x:c>
      <x:c r="W209" s="50" t="str">
        <x:v>Yoğunluk, basınç dayanımı ve λ üretici verisi; dinamik E ve η hesap başlangıç varsayımıdır.</x:v>
      </x:c>
    </x:row>
    <x:row r="210">
      <x:c r="A210" s="46" t="str">
        <x:v>AAC-HH-HIGH-STRENGTH-215</x:v>
      </x:c>
      <x:c r="B210" s="46" t="str">
        <x:v>AAC / Gazbeton</x:v>
      </x:c>
      <x:c r="C210" s="46" t="str">
        <x:v>Üretici sınıfı</x:v>
      </x:c>
      <x:c r="D210" s="46" t="str">
        <x:v>H+H Celcon</x:v>
      </x:c>
      <x:c r="E210" s="46" t="str">
        <x:v>High Strength</x:v>
      </x:c>
      <x:c r="F210" s="70" t="str">
        <x:v>MANUFACTURER_VERIFIED_PARTIAL</x:v>
      </x:c>
      <x:c r="G210" s="54" t="n">
        <x:v>215</x:v>
      </x:c>
      <x:c r="H210" s="54" t="n">
        <x:v>730</x:v>
      </x:c>
      <x:c r="I210" s="74" t="n">
        <x:f>IF(OR(G210="",H210=""),"",G210/1000*H210)</x:f>
        <x:v>156.95</x:v>
      </x:c>
      <x:c r="J210" s="75" t="n">
        <x:v>3.7</x:v>
      </x:c>
      <x:c r="K210" s="75" t="n">
        <x:v>0.2</x:v>
      </x:c>
      <x:c r="L210" s="75" t="n">
        <x:v>0.025</x:v>
      </x:c>
      <x:c r="M210" s="75" t="n">
        <x:f>IF(OR(J210="",K210=""),"",J210/(2*(1+K210)))</x:f>
        <x:v>1.5416666666666667</x:v>
      </x:c>
      <x:c r="N210" s="76" t="n">
        <x:f>IF(OR(J210="",H210="",K210=""),"",SQRT(J210*1000000000*(1-K210)/(H210*(1+K210)*(1-2*K210))))</x:f>
        <x:v>2373.111682225805</x:v>
      </x:c>
      <x:c r="O210" s="75" t="n">
        <x:f>IF(OR(H210="",N210=""),"",H210*N210/1000000)</x:f>
        <x:v>1.7323715280248375</x:v>
      </x:c>
      <x:c r="P210" s="74" t="n">
        <x:f>IF(OR(J210="",G210="",K210=""),"",J210*1000000000*(G210/1000)^3/(12*(1-K210^2)))</x:f>
        <x:v>3192012.8038194445</x:v>
      </x:c>
      <x:c r="Q210" s="76" t="n">
        <x:f>IF(OR(I210="",P210=""),"",343.2^2/(2*PI())*SQRT(I210/P210))</x:f>
        <x:v>131.45074071017157</x:v>
      </x:c>
      <x:c r="R210" s="58" t="n">
        <x:v>7.3</x:v>
      </x:c>
      <x:c r="S210" s="62" t="n">
        <x:v>0.18</x:v>
      </x:c>
      <x:c r="T210" s="46" t="str">
        <x:v>20 °C / kuru nominal</x:v>
      </x:c>
      <x:c r="U210" s="46" t="str">
        <x:v>YÜKSEK (ρ,fck,λ) / DÜŞÜK (E,η)</x:v>
      </x:c>
      <x:c r="V210" s="46" t="str">
        <x:v>https://www.hhcelcon.co.uk/products-applications/products/high-strength-grade-blocks</x:v>
      </x:c>
      <x:c r="W210" s="50" t="str">
        <x:v>Yoğunluk, basınç dayanımı ve λ üretici verisi; dinamik E ve η hesap başlangıç varsayımıdır.</x:v>
      </x:c>
    </x:row>
    <x:row r="211">
      <x:c r="A211" s="46" t="str">
        <x:v>RC-C20_25-80</x:v>
      </x:c>
      <x:c r="B211" s="46" t="str">
        <x:v>Betonarme</x:v>
      </x:c>
      <x:c r="C211" s="46" t="str">
        <x:v>C20/25</x:v>
      </x:c>
      <x:c r="D211" s="46" t="str">
        <x:v>GENERIC / EN 1992</x:v>
      </x:c>
      <x:c r="E211" s="46" t="str">
        <x:v>C20/25</x:v>
      </x:c>
      <x:c r="F211" s="70" t="str">
        <x:v>CODE_BASED_ENGINEERING</x:v>
      </x:c>
      <x:c r="G211" s="54" t="n">
        <x:v>80</x:v>
      </x:c>
      <x:c r="H211" s="54" t="n">
        <x:v>2500</x:v>
      </x:c>
      <x:c r="I211" s="74" t="n">
        <x:f>IF(OR(G211="",H211=""),"",G211/1000*H211)</x:f>
        <x:v>200</x:v>
      </x:c>
      <x:c r="J211" s="75" t="n">
        <x:v>29.96</x:v>
      </x:c>
      <x:c r="K211" s="75" t="n">
        <x:v>0.2</x:v>
      </x:c>
      <x:c r="L211" s="75" t="n">
        <x:v>0.015</x:v>
      </x:c>
      <x:c r="M211" s="75" t="n">
        <x:f>IF(OR(J211="",K211=""),"",J211/(2*(1+K211)))</x:f>
        <x:v>12.483333333333334</x:v>
      </x:c>
      <x:c r="N211" s="76" t="n">
        <x:f>IF(OR(J211="",H211="",K211=""),"",SQRT(J211*1000000000*(1-K211)/(H211*(1+K211)*(1-2*K211))))</x:f>
        <x:v>3649.048582241069</x:v>
      </x:c>
      <x:c r="O211" s="75" t="n">
        <x:f>IF(OR(H211="",N211=""),"",H211*N211/1000000)</x:f>
        <x:v>9.122621455602674</x:v>
      </x:c>
      <x:c r="P211" s="74" t="n">
        <x:f>IF(OR(J211="",G211="",K211=""),"",J211*1000000000*(G211/1000)^3/(12*(1-K211^2)))</x:f>
        <x:v>1331555.5555555557</x:v>
      </x:c>
      <x:c r="Q211" s="76" t="n">
        <x:f>IF(OR(I211="",P211=""),"",343.2^2/(2*PI())*SQRT(I211/P211))</x:f>
        <x:v>229.74710221714318</x:v>
      </x:c>
      <x:c r="R211" s="58" t="n">
        <x:v>20</x:v>
      </x:c>
      <x:c r="S211" s="62" t="n">
        <x:v>2</x:v>
      </x:c>
      <x:c r="T211" s="46" t="str">
        <x:v>20 °C / kuru nominal</x:v>
      </x:c>
      <x:c r="U211" s="46" t="str">
        <x:v>ORTA</x:v>
      </x:c>
      <x:c r="V211" s="46" t="str">
        <x:v>https://eurocodes.jrc.ec.europa.eu/</x:v>
      </x:c>
      <x:c r="W211" s="50" t="str">
        <x:v>Ecm EN 1992 bağıntısından; akustik etkin E, çatlak, agrega, nem ve frekansla değişebilir. Donatı hacmi yoğunluğa dahil nominal kabul edilmiştir.</x:v>
      </x:c>
    </x:row>
    <x:row r="212">
      <x:c r="A212" s="46" t="str">
        <x:v>RC-C20_25-100</x:v>
      </x:c>
      <x:c r="B212" s="46" t="str">
        <x:v>Betonarme</x:v>
      </x:c>
      <x:c r="C212" s="46" t="str">
        <x:v>C20/25</x:v>
      </x:c>
      <x:c r="D212" s="46" t="str">
        <x:v>GENERIC / EN 1992</x:v>
      </x:c>
      <x:c r="E212" s="46" t="str">
        <x:v>C20/25</x:v>
      </x:c>
      <x:c r="F212" s="70" t="str">
        <x:v>CODE_BASED_ENGINEERING</x:v>
      </x:c>
      <x:c r="G212" s="54" t="n">
        <x:v>100</x:v>
      </x:c>
      <x:c r="H212" s="54" t="n">
        <x:v>2500</x:v>
      </x:c>
      <x:c r="I212" s="74" t="n">
        <x:f>IF(OR(G212="",H212=""),"",G212/1000*H212)</x:f>
        <x:v>250</x:v>
      </x:c>
      <x:c r="J212" s="75" t="n">
        <x:v>29.96</x:v>
      </x:c>
      <x:c r="K212" s="75" t="n">
        <x:v>0.2</x:v>
      </x:c>
      <x:c r="L212" s="75" t="n">
        <x:v>0.015</x:v>
      </x:c>
      <x:c r="M212" s="75" t="n">
        <x:f>IF(OR(J212="",K212=""),"",J212/(2*(1+K212)))</x:f>
        <x:v>12.483333333333334</x:v>
      </x:c>
      <x:c r="N212" s="76" t="n">
        <x:f>IF(OR(J212="",H212="",K212=""),"",SQRT(J212*1000000000*(1-K212)/(H212*(1+K212)*(1-2*K212))))</x:f>
        <x:v>3649.048582241069</x:v>
      </x:c>
      <x:c r="O212" s="75" t="n">
        <x:f>IF(OR(H212="",N212=""),"",H212*N212/1000000)</x:f>
        <x:v>9.122621455602674</x:v>
      </x:c>
      <x:c r="P212" s="74" t="n">
        <x:f>IF(OR(J212="",G212="",K212=""),"",J212*1000000000*(G212/1000)^3/(12*(1-K212^2)))</x:f>
        <x:v>2600694.444444445</x:v>
      </x:c>
      <x:c r="Q212" s="76" t="n">
        <x:f>IF(OR(I212="",P212=""),"",343.2^2/(2*PI())*SQRT(I212/P212))</x:f>
        <x:v>183.79768177371454</x:v>
      </x:c>
      <x:c r="R212" s="58" t="n">
        <x:v>20</x:v>
      </x:c>
      <x:c r="S212" s="62" t="n">
        <x:v>2</x:v>
      </x:c>
      <x:c r="T212" s="46" t="str">
        <x:v>20 °C / kuru nominal</x:v>
      </x:c>
      <x:c r="U212" s="46" t="str">
        <x:v>ORTA</x:v>
      </x:c>
      <x:c r="V212" s="46" t="str">
        <x:v>https://eurocodes.jrc.ec.europa.eu/</x:v>
      </x:c>
      <x:c r="W212" s="50" t="str">
        <x:v>Ecm EN 1992 bağıntısından; akustik etkin E, çatlak, agrega, nem ve frekansla değişebilir. Donatı hacmi yoğunluğa dahil nominal kabul edilmiştir.</x:v>
      </x:c>
    </x:row>
    <x:row r="213">
      <x:c r="A213" s="46" t="str">
        <x:v>RC-C20_25-120</x:v>
      </x:c>
      <x:c r="B213" s="46" t="str">
        <x:v>Betonarme</x:v>
      </x:c>
      <x:c r="C213" s="46" t="str">
        <x:v>C20/25</x:v>
      </x:c>
      <x:c r="D213" s="46" t="str">
        <x:v>GENERIC / EN 1992</x:v>
      </x:c>
      <x:c r="E213" s="46" t="str">
        <x:v>C20/25</x:v>
      </x:c>
      <x:c r="F213" s="70" t="str">
        <x:v>CODE_BASED_ENGINEERING</x:v>
      </x:c>
      <x:c r="G213" s="54" t="n">
        <x:v>120</x:v>
      </x:c>
      <x:c r="H213" s="54" t="n">
        <x:v>2500</x:v>
      </x:c>
      <x:c r="I213" s="74" t="n">
        <x:f>IF(OR(G213="",H213=""),"",G213/1000*H213)</x:f>
        <x:v>300</x:v>
      </x:c>
      <x:c r="J213" s="75" t="n">
        <x:v>29.96</x:v>
      </x:c>
      <x:c r="K213" s="75" t="n">
        <x:v>0.2</x:v>
      </x:c>
      <x:c r="L213" s="75" t="n">
        <x:v>0.015</x:v>
      </x:c>
      <x:c r="M213" s="75" t="n">
        <x:f>IF(OR(J213="",K213=""),"",J213/(2*(1+K213)))</x:f>
        <x:v>12.483333333333334</x:v>
      </x:c>
      <x:c r="N213" s="76" t="n">
        <x:f>IF(OR(J213="",H213="",K213=""),"",SQRT(J213*1000000000*(1-K213)/(H213*(1+K213)*(1-2*K213))))</x:f>
        <x:v>3649.048582241069</x:v>
      </x:c>
      <x:c r="O213" s="75" t="n">
        <x:f>IF(OR(H213="",N213=""),"",H213*N213/1000000)</x:f>
        <x:v>9.122621455602674</x:v>
      </x:c>
      <x:c r="P213" s="74" t="n">
        <x:f>IF(OR(J213="",G213="",K213=""),"",J213*1000000000*(G213/1000)^3/(12*(1-K213^2)))</x:f>
        <x:v>4494000</x:v>
      </x:c>
      <x:c r="Q213" s="76" t="n">
        <x:f>IF(OR(I213="",P213=""),"",343.2^2/(2*PI())*SQRT(I213/P213))</x:f>
        <x:v>153.1647348114288</x:v>
      </x:c>
      <x:c r="R213" s="58" t="n">
        <x:v>20</x:v>
      </x:c>
      <x:c r="S213" s="62" t="n">
        <x:v>2</x:v>
      </x:c>
      <x:c r="T213" s="46" t="str">
        <x:v>20 °C / kuru nominal</x:v>
      </x:c>
      <x:c r="U213" s="46" t="str">
        <x:v>ORTA</x:v>
      </x:c>
      <x:c r="V213" s="46" t="str">
        <x:v>https://eurocodes.jrc.ec.europa.eu/</x:v>
      </x:c>
      <x:c r="W213" s="50" t="str">
        <x:v>Ecm EN 1992 bağıntısından; akustik etkin E, çatlak, agrega, nem ve frekansla değişebilir. Donatı hacmi yoğunluğa dahil nominal kabul edilmiştir.</x:v>
      </x:c>
    </x:row>
    <x:row r="214">
      <x:c r="A214" s="46" t="str">
        <x:v>RC-C20_25-150</x:v>
      </x:c>
      <x:c r="B214" s="46" t="str">
        <x:v>Betonarme</x:v>
      </x:c>
      <x:c r="C214" s="46" t="str">
        <x:v>C20/25</x:v>
      </x:c>
      <x:c r="D214" s="46" t="str">
        <x:v>GENERIC / EN 1992</x:v>
      </x:c>
      <x:c r="E214" s="46" t="str">
        <x:v>C20/25</x:v>
      </x:c>
      <x:c r="F214" s="70" t="str">
        <x:v>CODE_BASED_ENGINEERING</x:v>
      </x:c>
      <x:c r="G214" s="54" t="n">
        <x:v>150</x:v>
      </x:c>
      <x:c r="H214" s="54" t="n">
        <x:v>2500</x:v>
      </x:c>
      <x:c r="I214" s="74" t="n">
        <x:f>IF(OR(G214="",H214=""),"",G214/1000*H214)</x:f>
        <x:v>375</x:v>
      </x:c>
      <x:c r="J214" s="75" t="n">
        <x:v>29.96</x:v>
      </x:c>
      <x:c r="K214" s="75" t="n">
        <x:v>0.2</x:v>
      </x:c>
      <x:c r="L214" s="75" t="n">
        <x:v>0.015</x:v>
      </x:c>
      <x:c r="M214" s="75" t="n">
        <x:f>IF(OR(J214="",K214=""),"",J214/(2*(1+K214)))</x:f>
        <x:v>12.483333333333334</x:v>
      </x:c>
      <x:c r="N214" s="76" t="n">
        <x:f>IF(OR(J214="",H214="",K214=""),"",SQRT(J214*1000000000*(1-K214)/(H214*(1+K214)*(1-2*K214))))</x:f>
        <x:v>3649.048582241069</x:v>
      </x:c>
      <x:c r="O214" s="75" t="n">
        <x:f>IF(OR(H214="",N214=""),"",H214*N214/1000000)</x:f>
        <x:v>9.122621455602674</x:v>
      </x:c>
      <x:c r="P214" s="74" t="n">
        <x:f>IF(OR(J214="",G214="",K214=""),"",J214*1000000000*(G214/1000)^3/(12*(1-K214^2)))</x:f>
        <x:v>8777343.75</x:v>
      </x:c>
      <x:c r="Q214" s="76" t="n">
        <x:f>IF(OR(I214="",P214=""),"",343.2^2/(2*PI())*SQRT(I214/P214))</x:f>
        <x:v>122.53178784914303</x:v>
      </x:c>
      <x:c r="R214" s="58" t="n">
        <x:v>20</x:v>
      </x:c>
      <x:c r="S214" s="62" t="n">
        <x:v>2</x:v>
      </x:c>
      <x:c r="T214" s="46" t="str">
        <x:v>20 °C / kuru nominal</x:v>
      </x:c>
      <x:c r="U214" s="46" t="str">
        <x:v>ORTA</x:v>
      </x:c>
      <x:c r="V214" s="46" t="str">
        <x:v>https://eurocodes.jrc.ec.europa.eu/</x:v>
      </x:c>
      <x:c r="W214" s="50" t="str">
        <x:v>Ecm EN 1992 bağıntısından; akustik etkin E, çatlak, agrega, nem ve frekansla değişebilir. Donatı hacmi yoğunluğa dahil nominal kabul edilmiştir.</x:v>
      </x:c>
    </x:row>
    <x:row r="215">
      <x:c r="A215" s="46" t="str">
        <x:v>RC-C20_25-180</x:v>
      </x:c>
      <x:c r="B215" s="46" t="str">
        <x:v>Betonarme</x:v>
      </x:c>
      <x:c r="C215" s="46" t="str">
        <x:v>C20/25</x:v>
      </x:c>
      <x:c r="D215" s="46" t="str">
        <x:v>GENERIC / EN 1992</x:v>
      </x:c>
      <x:c r="E215" s="46" t="str">
        <x:v>C20/25</x:v>
      </x:c>
      <x:c r="F215" s="70" t="str">
        <x:v>CODE_BASED_ENGINEERING</x:v>
      </x:c>
      <x:c r="G215" s="54" t="n">
        <x:v>180</x:v>
      </x:c>
      <x:c r="H215" s="54" t="n">
        <x:v>2500</x:v>
      </x:c>
      <x:c r="I215" s="74" t="n">
        <x:f>IF(OR(G215="",H215=""),"",G215/1000*H215)</x:f>
        <x:v>450</x:v>
      </x:c>
      <x:c r="J215" s="75" t="n">
        <x:v>29.96</x:v>
      </x:c>
      <x:c r="K215" s="75" t="n">
        <x:v>0.2</x:v>
      </x:c>
      <x:c r="L215" s="75" t="n">
        <x:v>0.015</x:v>
      </x:c>
      <x:c r="M215" s="75" t="n">
        <x:f>IF(OR(J215="",K215=""),"",J215/(2*(1+K215)))</x:f>
        <x:v>12.483333333333334</x:v>
      </x:c>
      <x:c r="N215" s="76" t="n">
        <x:f>IF(OR(J215="",H215="",K215=""),"",SQRT(J215*1000000000*(1-K215)/(H215*(1+K215)*(1-2*K215))))</x:f>
        <x:v>3649.048582241069</x:v>
      </x:c>
      <x:c r="O215" s="75" t="n">
        <x:f>IF(OR(H215="",N215=""),"",H215*N215/1000000)</x:f>
        <x:v>9.122621455602674</x:v>
      </x:c>
      <x:c r="P215" s="74" t="n">
        <x:f>IF(OR(J215="",G215="",K215=""),"",J215*1000000000*(G215/1000)^3/(12*(1-K215^2)))</x:f>
        <x:v>15167250</x:v>
      </x:c>
      <x:c r="Q215" s="76" t="n">
        <x:f>IF(OR(I215="",P215=""),"",343.2^2/(2*PI())*SQRT(I215/P215))</x:f>
        <x:v>102.10982320761919</x:v>
      </x:c>
      <x:c r="R215" s="58" t="n">
        <x:v>20</x:v>
      </x:c>
      <x:c r="S215" s="62" t="n">
        <x:v>2</x:v>
      </x:c>
      <x:c r="T215" s="46" t="str">
        <x:v>20 °C / kuru nominal</x:v>
      </x:c>
      <x:c r="U215" s="46" t="str">
        <x:v>ORTA</x:v>
      </x:c>
      <x:c r="V215" s="46" t="str">
        <x:v>https://eurocodes.jrc.ec.europa.eu/</x:v>
      </x:c>
      <x:c r="W215" s="50" t="str">
        <x:v>Ecm EN 1992 bağıntısından; akustik etkin E, çatlak, agrega, nem ve frekansla değişebilir. Donatı hacmi yoğunluğa dahil nominal kabul edilmiştir.</x:v>
      </x:c>
    </x:row>
    <x:row r="216">
      <x:c r="A216" s="46" t="str">
        <x:v>RC-C20_25-200</x:v>
      </x:c>
      <x:c r="B216" s="46" t="str">
        <x:v>Betonarme</x:v>
      </x:c>
      <x:c r="C216" s="46" t="str">
        <x:v>C20/25</x:v>
      </x:c>
      <x:c r="D216" s="46" t="str">
        <x:v>GENERIC / EN 1992</x:v>
      </x:c>
      <x:c r="E216" s="46" t="str">
        <x:v>C20/25</x:v>
      </x:c>
      <x:c r="F216" s="70" t="str">
        <x:v>CODE_BASED_ENGINEERING</x:v>
      </x:c>
      <x:c r="G216" s="54" t="n">
        <x:v>200</x:v>
      </x:c>
      <x:c r="H216" s="54" t="n">
        <x:v>2500</x:v>
      </x:c>
      <x:c r="I216" s="74" t="n">
        <x:f>IF(OR(G216="",H216=""),"",G216/1000*H216)</x:f>
        <x:v>500</x:v>
      </x:c>
      <x:c r="J216" s="75" t="n">
        <x:v>29.96</x:v>
      </x:c>
      <x:c r="K216" s="75" t="n">
        <x:v>0.2</x:v>
      </x:c>
      <x:c r="L216" s="75" t="n">
        <x:v>0.015</x:v>
      </x:c>
      <x:c r="M216" s="75" t="n">
        <x:f>IF(OR(J216="",K216=""),"",J216/(2*(1+K216)))</x:f>
        <x:v>12.483333333333334</x:v>
      </x:c>
      <x:c r="N216" s="76" t="n">
        <x:f>IF(OR(J216="",H216="",K216=""),"",SQRT(J216*1000000000*(1-K216)/(H216*(1+K216)*(1-2*K216))))</x:f>
        <x:v>3649.048582241069</x:v>
      </x:c>
      <x:c r="O216" s="75" t="n">
        <x:f>IF(OR(H216="",N216=""),"",H216*N216/1000000)</x:f>
        <x:v>9.122621455602674</x:v>
      </x:c>
      <x:c r="P216" s="74" t="n">
        <x:f>IF(OR(J216="",G216="",K216=""),"",J216*1000000000*(G216/1000)^3/(12*(1-K216^2)))</x:f>
        <x:v>20805555.55555556</x:v>
      </x:c>
      <x:c r="Q216" s="76" t="n">
        <x:f>IF(OR(I216="",P216=""),"",343.2^2/(2*PI())*SQRT(I216/P216))</x:f>
        <x:v>91.89884088685727</x:v>
      </x:c>
      <x:c r="R216" s="58" t="n">
        <x:v>20</x:v>
      </x:c>
      <x:c r="S216" s="62" t="n">
        <x:v>2</x:v>
      </x:c>
      <x:c r="T216" s="46" t="str">
        <x:v>20 °C / kuru nominal</x:v>
      </x:c>
      <x:c r="U216" s="46" t="str">
        <x:v>ORTA</x:v>
      </x:c>
      <x:c r="V216" s="46" t="str">
        <x:v>https://eurocodes.jrc.ec.europa.eu/</x:v>
      </x:c>
      <x:c r="W216" s="50" t="str">
        <x:v>Ecm EN 1992 bağıntısından; akustik etkin E, çatlak, agrega, nem ve frekansla değişebilir. Donatı hacmi yoğunluğa dahil nominal kabul edilmiştir.</x:v>
      </x:c>
    </x:row>
    <x:row r="217">
      <x:c r="A217" s="46" t="str">
        <x:v>RC-C20_25-220</x:v>
      </x:c>
      <x:c r="B217" s="46" t="str">
        <x:v>Betonarme</x:v>
      </x:c>
      <x:c r="C217" s="46" t="str">
        <x:v>C20/25</x:v>
      </x:c>
      <x:c r="D217" s="46" t="str">
        <x:v>GENERIC / EN 1992</x:v>
      </x:c>
      <x:c r="E217" s="46" t="str">
        <x:v>C20/25</x:v>
      </x:c>
      <x:c r="F217" s="70" t="str">
        <x:v>CODE_BASED_ENGINEERING</x:v>
      </x:c>
      <x:c r="G217" s="54" t="n">
        <x:v>220</x:v>
      </x:c>
      <x:c r="H217" s="54" t="n">
        <x:v>2500</x:v>
      </x:c>
      <x:c r="I217" s="74" t="n">
        <x:f>IF(OR(G217="",H217=""),"",G217/1000*H217)</x:f>
        <x:v>550</x:v>
      </x:c>
      <x:c r="J217" s="75" t="n">
        <x:v>29.96</x:v>
      </x:c>
      <x:c r="K217" s="75" t="n">
        <x:v>0.2</x:v>
      </x:c>
      <x:c r="L217" s="75" t="n">
        <x:v>0.015</x:v>
      </x:c>
      <x:c r="M217" s="75" t="n">
        <x:f>IF(OR(J217="",K217=""),"",J217/(2*(1+K217)))</x:f>
        <x:v>12.483333333333334</x:v>
      </x:c>
      <x:c r="N217" s="76" t="n">
        <x:f>IF(OR(J217="",H217="",K217=""),"",SQRT(J217*1000000000*(1-K217)/(H217*(1+K217)*(1-2*K217))))</x:f>
        <x:v>3649.048582241069</x:v>
      </x:c>
      <x:c r="O217" s="75" t="n">
        <x:f>IF(OR(H217="",N217=""),"",H217*N217/1000000)</x:f>
        <x:v>9.122621455602674</x:v>
      </x:c>
      <x:c r="P217" s="74" t="n">
        <x:f>IF(OR(J217="",G217="",K217=""),"",J217*1000000000*(G217/1000)^3/(12*(1-K217^2)))</x:f>
        <x:v>27692194.444444444</x:v>
      </x:c>
      <x:c r="Q217" s="76" t="n">
        <x:f>IF(OR(I217="",P217=""),"",343.2^2/(2*PI())*SQRT(I217/P217))</x:f>
        <x:v>83.54440080623388</x:v>
      </x:c>
      <x:c r="R217" s="58" t="n">
        <x:v>20</x:v>
      </x:c>
      <x:c r="S217" s="62" t="n">
        <x:v>2</x:v>
      </x:c>
      <x:c r="T217" s="46" t="str">
        <x:v>20 °C / kuru nominal</x:v>
      </x:c>
      <x:c r="U217" s="46" t="str">
        <x:v>ORTA</x:v>
      </x:c>
      <x:c r="V217" s="46" t="str">
        <x:v>https://eurocodes.jrc.ec.europa.eu/</x:v>
      </x:c>
      <x:c r="W217" s="50" t="str">
        <x:v>Ecm EN 1992 bağıntısından; akustik etkin E, çatlak, agrega, nem ve frekansla değişebilir. Donatı hacmi yoğunluğa dahil nominal kabul edilmiştir.</x:v>
      </x:c>
    </x:row>
    <x:row r="218">
      <x:c r="A218" s="46" t="str">
        <x:v>RC-C20_25-250</x:v>
      </x:c>
      <x:c r="B218" s="46" t="str">
        <x:v>Betonarme</x:v>
      </x:c>
      <x:c r="C218" s="46" t="str">
        <x:v>C20/25</x:v>
      </x:c>
      <x:c r="D218" s="46" t="str">
        <x:v>GENERIC / EN 1992</x:v>
      </x:c>
      <x:c r="E218" s="46" t="str">
        <x:v>C20/25</x:v>
      </x:c>
      <x:c r="F218" s="70" t="str">
        <x:v>CODE_BASED_ENGINEERING</x:v>
      </x:c>
      <x:c r="G218" s="54" t="n">
        <x:v>250</x:v>
      </x:c>
      <x:c r="H218" s="54" t="n">
        <x:v>2500</x:v>
      </x:c>
      <x:c r="I218" s="74" t="n">
        <x:f>IF(OR(G218="",H218=""),"",G218/1000*H218)</x:f>
        <x:v>625</x:v>
      </x:c>
      <x:c r="J218" s="75" t="n">
        <x:v>29.96</x:v>
      </x:c>
      <x:c r="K218" s="75" t="n">
        <x:v>0.2</x:v>
      </x:c>
      <x:c r="L218" s="75" t="n">
        <x:v>0.015</x:v>
      </x:c>
      <x:c r="M218" s="75" t="n">
        <x:f>IF(OR(J218="",K218=""),"",J218/(2*(1+K218)))</x:f>
        <x:v>12.483333333333334</x:v>
      </x:c>
      <x:c r="N218" s="76" t="n">
        <x:f>IF(OR(J218="",H218="",K218=""),"",SQRT(J218*1000000000*(1-K218)/(H218*(1+K218)*(1-2*K218))))</x:f>
        <x:v>3649.048582241069</x:v>
      </x:c>
      <x:c r="O218" s="75" t="n">
        <x:f>IF(OR(H218="",N218=""),"",H218*N218/1000000)</x:f>
        <x:v>9.122621455602674</x:v>
      </x:c>
      <x:c r="P218" s="74" t="n">
        <x:f>IF(OR(J218="",G218="",K218=""),"",J218*1000000000*(G218/1000)^3/(12*(1-K218^2)))</x:f>
        <x:v>40635850.69444445</x:v>
      </x:c>
      <x:c r="Q218" s="76" t="n">
        <x:f>IF(OR(I218="",P218=""),"",343.2^2/(2*PI())*SQRT(I218/P218))</x:f>
        <x:v>73.51907270948583</x:v>
      </x:c>
      <x:c r="R218" s="58" t="n">
        <x:v>20</x:v>
      </x:c>
      <x:c r="S218" s="62" t="n">
        <x:v>2</x:v>
      </x:c>
      <x:c r="T218" s="46" t="str">
        <x:v>20 °C / kuru nominal</x:v>
      </x:c>
      <x:c r="U218" s="46" t="str">
        <x:v>ORTA</x:v>
      </x:c>
      <x:c r="V218" s="46" t="str">
        <x:v>https://eurocodes.jrc.ec.europa.eu/</x:v>
      </x:c>
      <x:c r="W218" s="50" t="str">
        <x:v>Ecm EN 1992 bağıntısından; akustik etkin E, çatlak, agrega, nem ve frekansla değişebilir. Donatı hacmi yoğunluğa dahil nominal kabul edilmiştir.</x:v>
      </x:c>
    </x:row>
    <x:row r="219">
      <x:c r="A219" s="46" t="str">
        <x:v>RC-C20_25-300</x:v>
      </x:c>
      <x:c r="B219" s="46" t="str">
        <x:v>Betonarme</x:v>
      </x:c>
      <x:c r="C219" s="46" t="str">
        <x:v>C20/25</x:v>
      </x:c>
      <x:c r="D219" s="46" t="str">
        <x:v>GENERIC / EN 1992</x:v>
      </x:c>
      <x:c r="E219" s="46" t="str">
        <x:v>C20/25</x:v>
      </x:c>
      <x:c r="F219" s="70" t="str">
        <x:v>CODE_BASED_ENGINEERING</x:v>
      </x:c>
      <x:c r="G219" s="54" t="n">
        <x:v>300</x:v>
      </x:c>
      <x:c r="H219" s="54" t="n">
        <x:v>2500</x:v>
      </x:c>
      <x:c r="I219" s="74" t="n">
        <x:f>IF(OR(G219="",H219=""),"",G219/1000*H219)</x:f>
        <x:v>750</x:v>
      </x:c>
      <x:c r="J219" s="75" t="n">
        <x:v>29.96</x:v>
      </x:c>
      <x:c r="K219" s="75" t="n">
        <x:v>0.2</x:v>
      </x:c>
      <x:c r="L219" s="75" t="n">
        <x:v>0.015</x:v>
      </x:c>
      <x:c r="M219" s="75" t="n">
        <x:f>IF(OR(J219="",K219=""),"",J219/(2*(1+K219)))</x:f>
        <x:v>12.483333333333334</x:v>
      </x:c>
      <x:c r="N219" s="76" t="n">
        <x:f>IF(OR(J219="",H219="",K219=""),"",SQRT(J219*1000000000*(1-K219)/(H219*(1+K219)*(1-2*K219))))</x:f>
        <x:v>3649.048582241069</x:v>
      </x:c>
      <x:c r="O219" s="75" t="n">
        <x:f>IF(OR(H219="",N219=""),"",H219*N219/1000000)</x:f>
        <x:v>9.122621455602674</x:v>
      </x:c>
      <x:c r="P219" s="74" t="n">
        <x:f>IF(OR(J219="",G219="",K219=""),"",J219*1000000000*(G219/1000)^3/(12*(1-K219^2)))</x:f>
        <x:v>70218750</x:v>
      </x:c>
      <x:c r="Q219" s="76" t="n">
        <x:f>IF(OR(I219="",P219=""),"",343.2^2/(2*PI())*SQRT(I219/P219))</x:f>
        <x:v>61.265893924571515</x:v>
      </x:c>
      <x:c r="R219" s="58" t="n">
        <x:v>20</x:v>
      </x:c>
      <x:c r="S219" s="62" t="n">
        <x:v>2</x:v>
      </x:c>
      <x:c r="T219" s="46" t="str">
        <x:v>20 °C / kuru nominal</x:v>
      </x:c>
      <x:c r="U219" s="46" t="str">
        <x:v>ORTA</x:v>
      </x:c>
      <x:c r="V219" s="46" t="str">
        <x:v>https://eurocodes.jrc.ec.europa.eu/</x:v>
      </x:c>
      <x:c r="W219" s="50" t="str">
        <x:v>Ecm EN 1992 bağıntısından; akustik etkin E, çatlak, agrega, nem ve frekansla değişebilir. Donatı hacmi yoğunluğa dahil nominal kabul edilmiştir.</x:v>
      </x:c>
    </x:row>
    <x:row r="220">
      <x:c r="A220" s="46" t="str">
        <x:v>RC-C20_25-350</x:v>
      </x:c>
      <x:c r="B220" s="46" t="str">
        <x:v>Betonarme</x:v>
      </x:c>
      <x:c r="C220" s="46" t="str">
        <x:v>C20/25</x:v>
      </x:c>
      <x:c r="D220" s="46" t="str">
        <x:v>GENERIC / EN 1992</x:v>
      </x:c>
      <x:c r="E220" s="46" t="str">
        <x:v>C20/25</x:v>
      </x:c>
      <x:c r="F220" s="70" t="str">
        <x:v>CODE_BASED_ENGINEERING</x:v>
      </x:c>
      <x:c r="G220" s="54" t="n">
        <x:v>350</x:v>
      </x:c>
      <x:c r="H220" s="54" t="n">
        <x:v>2500</x:v>
      </x:c>
      <x:c r="I220" s="74" t="n">
        <x:f>IF(OR(G220="",H220=""),"",G220/1000*H220)</x:f>
        <x:v>875</x:v>
      </x:c>
      <x:c r="J220" s="75" t="n">
        <x:v>29.96</x:v>
      </x:c>
      <x:c r="K220" s="75" t="n">
        <x:v>0.2</x:v>
      </x:c>
      <x:c r="L220" s="75" t="n">
        <x:v>0.015</x:v>
      </x:c>
      <x:c r="M220" s="75" t="n">
        <x:f>IF(OR(J220="",K220=""),"",J220/(2*(1+K220)))</x:f>
        <x:v>12.483333333333334</x:v>
      </x:c>
      <x:c r="N220" s="76" t="n">
        <x:f>IF(OR(J220="",H220="",K220=""),"",SQRT(J220*1000000000*(1-K220)/(H220*(1+K220)*(1-2*K220))))</x:f>
        <x:v>3649.048582241069</x:v>
      </x:c>
      <x:c r="O220" s="75" t="n">
        <x:f>IF(OR(H220="",N220=""),"",H220*N220/1000000)</x:f>
        <x:v>9.122621455602674</x:v>
      </x:c>
      <x:c r="P220" s="74" t="n">
        <x:f>IF(OR(J220="",G220="",K220=""),"",J220*1000000000*(G220/1000)^3/(12*(1-K220^2)))</x:f>
        <x:v>111504774.30555554</x:v>
      </x:c>
      <x:c r="Q220" s="76" t="n">
        <x:f>IF(OR(I220="",P220=""),"",343.2^2/(2*PI())*SQRT(I220/P220))</x:f>
        <x:v>52.51362336391845</x:v>
      </x:c>
      <x:c r="R220" s="58" t="n">
        <x:v>20</x:v>
      </x:c>
      <x:c r="S220" s="62" t="n">
        <x:v>2</x:v>
      </x:c>
      <x:c r="T220" s="46" t="str">
        <x:v>20 °C / kuru nominal</x:v>
      </x:c>
      <x:c r="U220" s="46" t="str">
        <x:v>ORTA</x:v>
      </x:c>
      <x:c r="V220" s="46" t="str">
        <x:v>https://eurocodes.jrc.ec.europa.eu/</x:v>
      </x:c>
      <x:c r="W220" s="50" t="str">
        <x:v>Ecm EN 1992 bağıntısından; akustik etkin E, çatlak, agrega, nem ve frekansla değişebilir. Donatı hacmi yoğunluğa dahil nominal kabul edilmiştir.</x:v>
      </x:c>
    </x:row>
    <x:row r="221">
      <x:c r="A221" s="46" t="str">
        <x:v>RC-C20_25-400</x:v>
      </x:c>
      <x:c r="B221" s="46" t="str">
        <x:v>Betonarme</x:v>
      </x:c>
      <x:c r="C221" s="46" t="str">
        <x:v>C20/25</x:v>
      </x:c>
      <x:c r="D221" s="46" t="str">
        <x:v>GENERIC / EN 1992</x:v>
      </x:c>
      <x:c r="E221" s="46" t="str">
        <x:v>C20/25</x:v>
      </x:c>
      <x:c r="F221" s="70" t="str">
        <x:v>CODE_BASED_ENGINEERING</x:v>
      </x:c>
      <x:c r="G221" s="54" t="n">
        <x:v>400</x:v>
      </x:c>
      <x:c r="H221" s="54" t="n">
        <x:v>2500</x:v>
      </x:c>
      <x:c r="I221" s="74" t="n">
        <x:f>IF(OR(G221="",H221=""),"",G221/1000*H221)</x:f>
        <x:v>1000</x:v>
      </x:c>
      <x:c r="J221" s="75" t="n">
        <x:v>29.96</x:v>
      </x:c>
      <x:c r="K221" s="75" t="n">
        <x:v>0.2</x:v>
      </x:c>
      <x:c r="L221" s="75" t="n">
        <x:v>0.015</x:v>
      </x:c>
      <x:c r="M221" s="75" t="n">
        <x:f>IF(OR(J221="",K221=""),"",J221/(2*(1+K221)))</x:f>
        <x:v>12.483333333333334</x:v>
      </x:c>
      <x:c r="N221" s="76" t="n">
        <x:f>IF(OR(J221="",H221="",K221=""),"",SQRT(J221*1000000000*(1-K221)/(H221*(1+K221)*(1-2*K221))))</x:f>
        <x:v>3649.048582241069</x:v>
      </x:c>
      <x:c r="O221" s="75" t="n">
        <x:f>IF(OR(H221="",N221=""),"",H221*N221/1000000)</x:f>
        <x:v>9.122621455602674</x:v>
      </x:c>
      <x:c r="P221" s="74" t="n">
        <x:f>IF(OR(J221="",G221="",K221=""),"",J221*1000000000*(G221/1000)^3/(12*(1-K221^2)))</x:f>
        <x:v>166444444.44444448</x:v>
      </x:c>
      <x:c r="Q221" s="76" t="n">
        <x:f>IF(OR(I221="",P221=""),"",343.2^2/(2*PI())*SQRT(I221/P221))</x:f>
        <x:v>45.949420443428636</x:v>
      </x:c>
      <x:c r="R221" s="58" t="n">
        <x:v>20</x:v>
      </x:c>
      <x:c r="S221" s="62" t="n">
        <x:v>2</x:v>
      </x:c>
      <x:c r="T221" s="46" t="str">
        <x:v>20 °C / kuru nominal</x:v>
      </x:c>
      <x:c r="U221" s="46" t="str">
        <x:v>ORTA</x:v>
      </x:c>
      <x:c r="V221" s="46" t="str">
        <x:v>https://eurocodes.jrc.ec.europa.eu/</x:v>
      </x:c>
      <x:c r="W221" s="50" t="str">
        <x:v>Ecm EN 1992 bağıntısından; akustik etkin E, çatlak, agrega, nem ve frekansla değişebilir. Donatı hacmi yoğunluğa dahil nominal kabul edilmiştir.</x:v>
      </x:c>
    </x:row>
    <x:row r="222">
      <x:c r="A222" s="46" t="str">
        <x:v>RC-C25_30-80</x:v>
      </x:c>
      <x:c r="B222" s="46" t="str">
        <x:v>Betonarme</x:v>
      </x:c>
      <x:c r="C222" s="46" t="str">
        <x:v>C25/30</x:v>
      </x:c>
      <x:c r="D222" s="46" t="str">
        <x:v>GENERIC / EN 1992</x:v>
      </x:c>
      <x:c r="E222" s="46" t="str">
        <x:v>C25/30</x:v>
      </x:c>
      <x:c r="F222" s="70" t="str">
        <x:v>CODE_BASED_ENGINEERING</x:v>
      </x:c>
      <x:c r="G222" s="54" t="n">
        <x:v>80</x:v>
      </x:c>
      <x:c r="H222" s="54" t="n">
        <x:v>2500</x:v>
      </x:c>
      <x:c r="I222" s="74" t="n">
        <x:f>IF(OR(G222="",H222=""),"",G222/1000*H222)</x:f>
        <x:v>200</x:v>
      </x:c>
      <x:c r="J222" s="75" t="n">
        <x:v>31.48</x:v>
      </x:c>
      <x:c r="K222" s="75" t="n">
        <x:v>0.2</x:v>
      </x:c>
      <x:c r="L222" s="75" t="n">
        <x:v>0.015</x:v>
      </x:c>
      <x:c r="M222" s="75" t="n">
        <x:f>IF(OR(J222="",K222=""),"",J222/(2*(1+K222)))</x:f>
        <x:v>13.116666666666667</x:v>
      </x:c>
      <x:c r="N222" s="76" t="n">
        <x:f>IF(OR(J222="",H222="",K222=""),"",SQRT(J222*1000000000*(1-K222)/(H222*(1+K222)*(1-2*K222))))</x:f>
        <x:v>3740.4693704281435</x:v>
      </x:c>
      <x:c r="O222" s="75" t="n">
        <x:f>IF(OR(H222="",N222=""),"",H222*N222/1000000)</x:f>
        <x:v>9.351173426070359</x:v>
      </x:c>
      <x:c r="P222" s="74" t="n">
        <x:f>IF(OR(J222="",G222="",K222=""),"",J222*1000000000*(G222/1000)^3/(12*(1-K222^2)))</x:f>
        <x:v>1399111.1111111112</x:v>
      </x:c>
      <x:c r="Q222" s="76" t="n">
        <x:f>IF(OR(I222="",P222=""),"",343.2^2/(2*PI())*SQRT(I222/P222))</x:f>
        <x:v>224.1318547472826</x:v>
      </x:c>
      <x:c r="R222" s="58" t="n">
        <x:v>25</x:v>
      </x:c>
      <x:c r="S222" s="62" t="n">
        <x:v>2</x:v>
      </x:c>
      <x:c r="T222" s="46" t="str">
        <x:v>20 °C / kuru nominal</x:v>
      </x:c>
      <x:c r="U222" s="46" t="str">
        <x:v>ORTA</x:v>
      </x:c>
      <x:c r="V222" s="46" t="str">
        <x:v>https://eurocodes.jrc.ec.europa.eu/</x:v>
      </x:c>
      <x:c r="W222" s="50" t="str">
        <x:v>Ecm EN 1992 bağıntısından; akustik etkin E, çatlak, agrega, nem ve frekansla değişebilir. Donatı hacmi yoğunluğa dahil nominal kabul edilmiştir.</x:v>
      </x:c>
    </x:row>
    <x:row r="223">
      <x:c r="A223" s="46" t="str">
        <x:v>RC-C25_30-100</x:v>
      </x:c>
      <x:c r="B223" s="46" t="str">
        <x:v>Betonarme</x:v>
      </x:c>
      <x:c r="C223" s="46" t="str">
        <x:v>C25/30</x:v>
      </x:c>
      <x:c r="D223" s="46" t="str">
        <x:v>GENERIC / EN 1992</x:v>
      </x:c>
      <x:c r="E223" s="46" t="str">
        <x:v>C25/30</x:v>
      </x:c>
      <x:c r="F223" s="70" t="str">
        <x:v>CODE_BASED_ENGINEERING</x:v>
      </x:c>
      <x:c r="G223" s="54" t="n">
        <x:v>100</x:v>
      </x:c>
      <x:c r="H223" s="54" t="n">
        <x:v>2500</x:v>
      </x:c>
      <x:c r="I223" s="74" t="n">
        <x:f>IF(OR(G223="",H223=""),"",G223/1000*H223)</x:f>
        <x:v>250</x:v>
      </x:c>
      <x:c r="J223" s="75" t="n">
        <x:v>31.48</x:v>
      </x:c>
      <x:c r="K223" s="75" t="n">
        <x:v>0.2</x:v>
      </x:c>
      <x:c r="L223" s="75" t="n">
        <x:v>0.015</x:v>
      </x:c>
      <x:c r="M223" s="75" t="n">
        <x:f>IF(OR(J223="",K223=""),"",J223/(2*(1+K223)))</x:f>
        <x:v>13.116666666666667</x:v>
      </x:c>
      <x:c r="N223" s="76" t="n">
        <x:f>IF(OR(J223="",H223="",K223=""),"",SQRT(J223*1000000000*(1-K223)/(H223*(1+K223)*(1-2*K223))))</x:f>
        <x:v>3740.4693704281435</x:v>
      </x:c>
      <x:c r="O223" s="75" t="n">
        <x:f>IF(OR(H223="",N223=""),"",H223*N223/1000000)</x:f>
        <x:v>9.351173426070359</x:v>
      </x:c>
      <x:c r="P223" s="74" t="n">
        <x:f>IF(OR(J223="",G223="",K223=""),"",J223*1000000000*(G223/1000)^3/(12*(1-K223^2)))</x:f>
        <x:v>2732638.8888888895</x:v>
      </x:c>
      <x:c r="Q223" s="76" t="n">
        <x:f>IF(OR(I223="",P223=""),"",343.2^2/(2*PI())*SQRT(I223/P223))</x:f>
        <x:v>179.30548379782607</x:v>
      </x:c>
      <x:c r="R223" s="58" t="n">
        <x:v>25</x:v>
      </x:c>
      <x:c r="S223" s="62" t="n">
        <x:v>2</x:v>
      </x:c>
      <x:c r="T223" s="46" t="str">
        <x:v>20 °C / kuru nominal</x:v>
      </x:c>
      <x:c r="U223" s="46" t="str">
        <x:v>ORTA</x:v>
      </x:c>
      <x:c r="V223" s="46" t="str">
        <x:v>https://eurocodes.jrc.ec.europa.eu/</x:v>
      </x:c>
      <x:c r="W223" s="50" t="str">
        <x:v>Ecm EN 1992 bağıntısından; akustik etkin E, çatlak, agrega, nem ve frekansla değişebilir. Donatı hacmi yoğunluğa dahil nominal kabul edilmiştir.</x:v>
      </x:c>
    </x:row>
    <x:row r="224">
      <x:c r="A224" s="46" t="str">
        <x:v>RC-C25_30-120</x:v>
      </x:c>
      <x:c r="B224" s="46" t="str">
        <x:v>Betonarme</x:v>
      </x:c>
      <x:c r="C224" s="46" t="str">
        <x:v>C25/30</x:v>
      </x:c>
      <x:c r="D224" s="46" t="str">
        <x:v>GENERIC / EN 1992</x:v>
      </x:c>
      <x:c r="E224" s="46" t="str">
        <x:v>C25/30</x:v>
      </x:c>
      <x:c r="F224" s="70" t="str">
        <x:v>CODE_BASED_ENGINEERING</x:v>
      </x:c>
      <x:c r="G224" s="54" t="n">
        <x:v>120</x:v>
      </x:c>
      <x:c r="H224" s="54" t="n">
        <x:v>2500</x:v>
      </x:c>
      <x:c r="I224" s="74" t="n">
        <x:f>IF(OR(G224="",H224=""),"",G224/1000*H224)</x:f>
        <x:v>300</x:v>
      </x:c>
      <x:c r="J224" s="75" t="n">
        <x:v>31.48</x:v>
      </x:c>
      <x:c r="K224" s="75" t="n">
        <x:v>0.2</x:v>
      </x:c>
      <x:c r="L224" s="75" t="n">
        <x:v>0.015</x:v>
      </x:c>
      <x:c r="M224" s="75" t="n">
        <x:f>IF(OR(J224="",K224=""),"",J224/(2*(1+K224)))</x:f>
        <x:v>13.116666666666667</x:v>
      </x:c>
      <x:c r="N224" s="76" t="n">
        <x:f>IF(OR(J224="",H224="",K224=""),"",SQRT(J224*1000000000*(1-K224)/(H224*(1+K224)*(1-2*K224))))</x:f>
        <x:v>3740.4693704281435</x:v>
      </x:c>
      <x:c r="O224" s="75" t="n">
        <x:f>IF(OR(H224="",N224=""),"",H224*N224/1000000)</x:f>
        <x:v>9.351173426070359</x:v>
      </x:c>
      <x:c r="P224" s="74" t="n">
        <x:f>IF(OR(J224="",G224="",K224=""),"",J224*1000000000*(G224/1000)^3/(12*(1-K224^2)))</x:f>
        <x:v>4722000</x:v>
      </x:c>
      <x:c r="Q224" s="76" t="n">
        <x:f>IF(OR(I224="",P224=""),"",343.2^2/(2*PI())*SQRT(I224/P224))</x:f>
        <x:v>149.42123649818842</x:v>
      </x:c>
      <x:c r="R224" s="58" t="n">
        <x:v>25</x:v>
      </x:c>
      <x:c r="S224" s="62" t="n">
        <x:v>2</x:v>
      </x:c>
      <x:c r="T224" s="46" t="str">
        <x:v>20 °C / kuru nominal</x:v>
      </x:c>
      <x:c r="U224" s="46" t="str">
        <x:v>ORTA</x:v>
      </x:c>
      <x:c r="V224" s="46" t="str">
        <x:v>https://eurocodes.jrc.ec.europa.eu/</x:v>
      </x:c>
      <x:c r="W224" s="50" t="str">
        <x:v>Ecm EN 1992 bağıntısından; akustik etkin E, çatlak, agrega, nem ve frekansla değişebilir. Donatı hacmi yoğunluğa dahil nominal kabul edilmiştir.</x:v>
      </x:c>
    </x:row>
    <x:row r="225">
      <x:c r="A225" s="46" t="str">
        <x:v>RC-C25_30-150</x:v>
      </x:c>
      <x:c r="B225" s="46" t="str">
        <x:v>Betonarme</x:v>
      </x:c>
      <x:c r="C225" s="46" t="str">
        <x:v>C25/30</x:v>
      </x:c>
      <x:c r="D225" s="46" t="str">
        <x:v>GENERIC / EN 1992</x:v>
      </x:c>
      <x:c r="E225" s="46" t="str">
        <x:v>C25/30</x:v>
      </x:c>
      <x:c r="F225" s="70" t="str">
        <x:v>CODE_BASED_ENGINEERING</x:v>
      </x:c>
      <x:c r="G225" s="54" t="n">
        <x:v>150</x:v>
      </x:c>
      <x:c r="H225" s="54" t="n">
        <x:v>2500</x:v>
      </x:c>
      <x:c r="I225" s="74" t="n">
        <x:f>IF(OR(G225="",H225=""),"",G225/1000*H225)</x:f>
        <x:v>375</x:v>
      </x:c>
      <x:c r="J225" s="75" t="n">
        <x:v>31.48</x:v>
      </x:c>
      <x:c r="K225" s="75" t="n">
        <x:v>0.2</x:v>
      </x:c>
      <x:c r="L225" s="75" t="n">
        <x:v>0.015</x:v>
      </x:c>
      <x:c r="M225" s="75" t="n">
        <x:f>IF(OR(J225="",K225=""),"",J225/(2*(1+K225)))</x:f>
        <x:v>13.116666666666667</x:v>
      </x:c>
      <x:c r="N225" s="76" t="n">
        <x:f>IF(OR(J225="",H225="",K225=""),"",SQRT(J225*1000000000*(1-K225)/(H225*(1+K225)*(1-2*K225))))</x:f>
        <x:v>3740.4693704281435</x:v>
      </x:c>
      <x:c r="O225" s="75" t="n">
        <x:f>IF(OR(H225="",N225=""),"",H225*N225/1000000)</x:f>
        <x:v>9.351173426070359</x:v>
      </x:c>
      <x:c r="P225" s="74" t="n">
        <x:f>IF(OR(J225="",G225="",K225=""),"",J225*1000000000*(G225/1000)^3/(12*(1-K225^2)))</x:f>
        <x:v>9222656.25</x:v>
      </x:c>
      <x:c r="Q225" s="76" t="n">
        <x:f>IF(OR(I225="",P225=""),"",343.2^2/(2*PI())*SQRT(I225/P225))</x:f>
        <x:v>119.53698919855073</x:v>
      </x:c>
      <x:c r="R225" s="58" t="n">
        <x:v>25</x:v>
      </x:c>
      <x:c r="S225" s="62" t="n">
        <x:v>2</x:v>
      </x:c>
      <x:c r="T225" s="46" t="str">
        <x:v>20 °C / kuru nominal</x:v>
      </x:c>
      <x:c r="U225" s="46" t="str">
        <x:v>ORTA</x:v>
      </x:c>
      <x:c r="V225" s="46" t="str">
        <x:v>https://eurocodes.jrc.ec.europa.eu/</x:v>
      </x:c>
      <x:c r="W225" s="50" t="str">
        <x:v>Ecm EN 1992 bağıntısından; akustik etkin E, çatlak, agrega, nem ve frekansla değişebilir. Donatı hacmi yoğunluğa dahil nominal kabul edilmiştir.</x:v>
      </x:c>
    </x:row>
    <x:row r="226">
      <x:c r="A226" s="46" t="str">
        <x:v>RC-C25_30-180</x:v>
      </x:c>
      <x:c r="B226" s="46" t="str">
        <x:v>Betonarme</x:v>
      </x:c>
      <x:c r="C226" s="46" t="str">
        <x:v>C25/30</x:v>
      </x:c>
      <x:c r="D226" s="46" t="str">
        <x:v>GENERIC / EN 1992</x:v>
      </x:c>
      <x:c r="E226" s="46" t="str">
        <x:v>C25/30</x:v>
      </x:c>
      <x:c r="F226" s="70" t="str">
        <x:v>CODE_BASED_ENGINEERING</x:v>
      </x:c>
      <x:c r="G226" s="54" t="n">
        <x:v>180</x:v>
      </x:c>
      <x:c r="H226" s="54" t="n">
        <x:v>2500</x:v>
      </x:c>
      <x:c r="I226" s="74" t="n">
        <x:f>IF(OR(G226="",H226=""),"",G226/1000*H226)</x:f>
        <x:v>450</x:v>
      </x:c>
      <x:c r="J226" s="75" t="n">
        <x:v>31.48</x:v>
      </x:c>
      <x:c r="K226" s="75" t="n">
        <x:v>0.2</x:v>
      </x:c>
      <x:c r="L226" s="75" t="n">
        <x:v>0.015</x:v>
      </x:c>
      <x:c r="M226" s="75" t="n">
        <x:f>IF(OR(J226="",K226=""),"",J226/(2*(1+K226)))</x:f>
        <x:v>13.116666666666667</x:v>
      </x:c>
      <x:c r="N226" s="76" t="n">
        <x:f>IF(OR(J226="",H226="",K226=""),"",SQRT(J226*1000000000*(1-K226)/(H226*(1+K226)*(1-2*K226))))</x:f>
        <x:v>3740.4693704281435</x:v>
      </x:c>
      <x:c r="O226" s="75" t="n">
        <x:f>IF(OR(H226="",N226=""),"",H226*N226/1000000)</x:f>
        <x:v>9.351173426070359</x:v>
      </x:c>
      <x:c r="P226" s="74" t="n">
        <x:f>IF(OR(J226="",G226="",K226=""),"",J226*1000000000*(G226/1000)^3/(12*(1-K226^2)))</x:f>
        <x:v>15936749.999999998</x:v>
      </x:c>
      <x:c r="Q226" s="76" t="n">
        <x:f>IF(OR(I226="",P226=""),"",343.2^2/(2*PI())*SQRT(I226/P226))</x:f>
        <x:v>99.61415766545895</x:v>
      </x:c>
      <x:c r="R226" s="58" t="n">
        <x:v>25</x:v>
      </x:c>
      <x:c r="S226" s="62" t="n">
        <x:v>2</x:v>
      </x:c>
      <x:c r="T226" s="46" t="str">
        <x:v>20 °C / kuru nominal</x:v>
      </x:c>
      <x:c r="U226" s="46" t="str">
        <x:v>ORTA</x:v>
      </x:c>
      <x:c r="V226" s="46" t="str">
        <x:v>https://eurocodes.jrc.ec.europa.eu/</x:v>
      </x:c>
      <x:c r="W226" s="50" t="str">
        <x:v>Ecm EN 1992 bağıntısından; akustik etkin E, çatlak, agrega, nem ve frekansla değişebilir. Donatı hacmi yoğunluğa dahil nominal kabul edilmiştir.</x:v>
      </x:c>
    </x:row>
    <x:row r="227">
      <x:c r="A227" s="46" t="str">
        <x:v>RC-C25_30-200</x:v>
      </x:c>
      <x:c r="B227" s="46" t="str">
        <x:v>Betonarme</x:v>
      </x:c>
      <x:c r="C227" s="46" t="str">
        <x:v>C25/30</x:v>
      </x:c>
      <x:c r="D227" s="46" t="str">
        <x:v>GENERIC / EN 1992</x:v>
      </x:c>
      <x:c r="E227" s="46" t="str">
        <x:v>C25/30</x:v>
      </x:c>
      <x:c r="F227" s="70" t="str">
        <x:v>CODE_BASED_ENGINEERING</x:v>
      </x:c>
      <x:c r="G227" s="54" t="n">
        <x:v>200</x:v>
      </x:c>
      <x:c r="H227" s="54" t="n">
        <x:v>2500</x:v>
      </x:c>
      <x:c r="I227" s="74" t="n">
        <x:f>IF(OR(G227="",H227=""),"",G227/1000*H227)</x:f>
        <x:v>500</x:v>
      </x:c>
      <x:c r="J227" s="75" t="n">
        <x:v>31.48</x:v>
      </x:c>
      <x:c r="K227" s="75" t="n">
        <x:v>0.2</x:v>
      </x:c>
      <x:c r="L227" s="75" t="n">
        <x:v>0.015</x:v>
      </x:c>
      <x:c r="M227" s="75" t="n">
        <x:f>IF(OR(J227="",K227=""),"",J227/(2*(1+K227)))</x:f>
        <x:v>13.116666666666667</x:v>
      </x:c>
      <x:c r="N227" s="76" t="n">
        <x:f>IF(OR(J227="",H227="",K227=""),"",SQRT(J227*1000000000*(1-K227)/(H227*(1+K227)*(1-2*K227))))</x:f>
        <x:v>3740.4693704281435</x:v>
      </x:c>
      <x:c r="O227" s="75" t="n">
        <x:f>IF(OR(H227="",N227=""),"",H227*N227/1000000)</x:f>
        <x:v>9.351173426070359</x:v>
      </x:c>
      <x:c r="P227" s="74" t="n">
        <x:f>IF(OR(J227="",G227="",K227=""),"",J227*1000000000*(G227/1000)^3/(12*(1-K227^2)))</x:f>
        <x:v>21861111.111111116</x:v>
      </x:c>
      <x:c r="Q227" s="76" t="n">
        <x:f>IF(OR(I227="",P227=""),"",343.2^2/(2*PI())*SQRT(I227/P227))</x:f>
        <x:v>89.65274189891304</x:v>
      </x:c>
      <x:c r="R227" s="58" t="n">
        <x:v>25</x:v>
      </x:c>
      <x:c r="S227" s="62" t="n">
        <x:v>2</x:v>
      </x:c>
      <x:c r="T227" s="46" t="str">
        <x:v>20 °C / kuru nominal</x:v>
      </x:c>
      <x:c r="U227" s="46" t="str">
        <x:v>ORTA</x:v>
      </x:c>
      <x:c r="V227" s="46" t="str">
        <x:v>https://eurocodes.jrc.ec.europa.eu/</x:v>
      </x:c>
      <x:c r="W227" s="50" t="str">
        <x:v>Ecm EN 1992 bağıntısından; akustik etkin E, çatlak, agrega, nem ve frekansla değişebilir. Donatı hacmi yoğunluğa dahil nominal kabul edilmiştir.</x:v>
      </x:c>
    </x:row>
    <x:row r="228">
      <x:c r="A228" s="46" t="str">
        <x:v>RC-C25_30-220</x:v>
      </x:c>
      <x:c r="B228" s="46" t="str">
        <x:v>Betonarme</x:v>
      </x:c>
      <x:c r="C228" s="46" t="str">
        <x:v>C25/30</x:v>
      </x:c>
      <x:c r="D228" s="46" t="str">
        <x:v>GENERIC / EN 1992</x:v>
      </x:c>
      <x:c r="E228" s="46" t="str">
        <x:v>C25/30</x:v>
      </x:c>
      <x:c r="F228" s="70" t="str">
        <x:v>CODE_BASED_ENGINEERING</x:v>
      </x:c>
      <x:c r="G228" s="54" t="n">
        <x:v>220</x:v>
      </x:c>
      <x:c r="H228" s="54" t="n">
        <x:v>2500</x:v>
      </x:c>
      <x:c r="I228" s="74" t="n">
        <x:f>IF(OR(G228="",H228=""),"",G228/1000*H228)</x:f>
        <x:v>550</x:v>
      </x:c>
      <x:c r="J228" s="75" t="n">
        <x:v>31.48</x:v>
      </x:c>
      <x:c r="K228" s="75" t="n">
        <x:v>0.2</x:v>
      </x:c>
      <x:c r="L228" s="75" t="n">
        <x:v>0.015</x:v>
      </x:c>
      <x:c r="M228" s="75" t="n">
        <x:f>IF(OR(J228="",K228=""),"",J228/(2*(1+K228)))</x:f>
        <x:v>13.116666666666667</x:v>
      </x:c>
      <x:c r="N228" s="76" t="n">
        <x:f>IF(OR(J228="",H228="",K228=""),"",SQRT(J228*1000000000*(1-K228)/(H228*(1+K228)*(1-2*K228))))</x:f>
        <x:v>3740.4693704281435</x:v>
      </x:c>
      <x:c r="O228" s="75" t="n">
        <x:f>IF(OR(H228="",N228=""),"",H228*N228/1000000)</x:f>
        <x:v>9.351173426070359</x:v>
      </x:c>
      <x:c r="P228" s="74" t="n">
        <x:f>IF(OR(J228="",G228="",K228=""),"",J228*1000000000*(G228/1000)^3/(12*(1-K228^2)))</x:f>
        <x:v>29097138.88888889</x:v>
      </x:c>
      <x:c r="Q228" s="76" t="n">
        <x:f>IF(OR(I228="",P228=""),"",343.2^2/(2*PI())*SQRT(I228/P228))</x:f>
        <x:v>81.5024926353755</x:v>
      </x:c>
      <x:c r="R228" s="58" t="n">
        <x:v>25</x:v>
      </x:c>
      <x:c r="S228" s="62" t="n">
        <x:v>2</x:v>
      </x:c>
      <x:c r="T228" s="46" t="str">
        <x:v>20 °C / kuru nominal</x:v>
      </x:c>
      <x:c r="U228" s="46" t="str">
        <x:v>ORTA</x:v>
      </x:c>
      <x:c r="V228" s="46" t="str">
        <x:v>https://eurocodes.jrc.ec.europa.eu/</x:v>
      </x:c>
      <x:c r="W228" s="50" t="str">
        <x:v>Ecm EN 1992 bağıntısından; akustik etkin E, çatlak, agrega, nem ve frekansla değişebilir. Donatı hacmi yoğunluğa dahil nominal kabul edilmiştir.</x:v>
      </x:c>
    </x:row>
    <x:row r="229">
      <x:c r="A229" s="46" t="str">
        <x:v>RC-C25_30-250</x:v>
      </x:c>
      <x:c r="B229" s="46" t="str">
        <x:v>Betonarme</x:v>
      </x:c>
      <x:c r="C229" s="46" t="str">
        <x:v>C25/30</x:v>
      </x:c>
      <x:c r="D229" s="46" t="str">
        <x:v>GENERIC / EN 1992</x:v>
      </x:c>
      <x:c r="E229" s="46" t="str">
        <x:v>C25/30</x:v>
      </x:c>
      <x:c r="F229" s="70" t="str">
        <x:v>CODE_BASED_ENGINEERING</x:v>
      </x:c>
      <x:c r="G229" s="54" t="n">
        <x:v>250</x:v>
      </x:c>
      <x:c r="H229" s="54" t="n">
        <x:v>2500</x:v>
      </x:c>
      <x:c r="I229" s="74" t="n">
        <x:f>IF(OR(G229="",H229=""),"",G229/1000*H229)</x:f>
        <x:v>625</x:v>
      </x:c>
      <x:c r="J229" s="75" t="n">
        <x:v>31.48</x:v>
      </x:c>
      <x:c r="K229" s="75" t="n">
        <x:v>0.2</x:v>
      </x:c>
      <x:c r="L229" s="75" t="n">
        <x:v>0.015</x:v>
      </x:c>
      <x:c r="M229" s="75" t="n">
        <x:f>IF(OR(J229="",K229=""),"",J229/(2*(1+K229)))</x:f>
        <x:v>13.116666666666667</x:v>
      </x:c>
      <x:c r="N229" s="76" t="n">
        <x:f>IF(OR(J229="",H229="",K229=""),"",SQRT(J229*1000000000*(1-K229)/(H229*(1+K229)*(1-2*K229))))</x:f>
        <x:v>3740.4693704281435</x:v>
      </x:c>
      <x:c r="O229" s="75" t="n">
        <x:f>IF(OR(H229="",N229=""),"",H229*N229/1000000)</x:f>
        <x:v>9.351173426070359</x:v>
      </x:c>
      <x:c r="P229" s="74" t="n">
        <x:f>IF(OR(J229="",G229="",K229=""),"",J229*1000000000*(G229/1000)^3/(12*(1-K229^2)))</x:f>
        <x:v>42697482.63888889</x:v>
      </x:c>
      <x:c r="Q229" s="76" t="n">
        <x:f>IF(OR(I229="",P229=""),"",343.2^2/(2*PI())*SQRT(I229/P229))</x:f>
        <x:v>71.72219351913044</x:v>
      </x:c>
      <x:c r="R229" s="58" t="n">
        <x:v>25</x:v>
      </x:c>
      <x:c r="S229" s="62" t="n">
        <x:v>2</x:v>
      </x:c>
      <x:c r="T229" s="46" t="str">
        <x:v>20 °C / kuru nominal</x:v>
      </x:c>
      <x:c r="U229" s="46" t="str">
        <x:v>ORTA</x:v>
      </x:c>
      <x:c r="V229" s="46" t="str">
        <x:v>https://eurocodes.jrc.ec.europa.eu/</x:v>
      </x:c>
      <x:c r="W229" s="50" t="str">
        <x:v>Ecm EN 1992 bağıntısından; akustik etkin E, çatlak, agrega, nem ve frekansla değişebilir. Donatı hacmi yoğunluğa dahil nominal kabul edilmiştir.</x:v>
      </x:c>
    </x:row>
    <x:row r="230">
      <x:c r="A230" s="46" t="str">
        <x:v>RC-C25_30-300</x:v>
      </x:c>
      <x:c r="B230" s="46" t="str">
        <x:v>Betonarme</x:v>
      </x:c>
      <x:c r="C230" s="46" t="str">
        <x:v>C25/30</x:v>
      </x:c>
      <x:c r="D230" s="46" t="str">
        <x:v>GENERIC / EN 1992</x:v>
      </x:c>
      <x:c r="E230" s="46" t="str">
        <x:v>C25/30</x:v>
      </x:c>
      <x:c r="F230" s="70" t="str">
        <x:v>CODE_BASED_ENGINEERING</x:v>
      </x:c>
      <x:c r="G230" s="54" t="n">
        <x:v>300</x:v>
      </x:c>
      <x:c r="H230" s="54" t="n">
        <x:v>2500</x:v>
      </x:c>
      <x:c r="I230" s="74" t="n">
        <x:f>IF(OR(G230="",H230=""),"",G230/1000*H230)</x:f>
        <x:v>750</x:v>
      </x:c>
      <x:c r="J230" s="75" t="n">
        <x:v>31.48</x:v>
      </x:c>
      <x:c r="K230" s="75" t="n">
        <x:v>0.2</x:v>
      </x:c>
      <x:c r="L230" s="75" t="n">
        <x:v>0.015</x:v>
      </x:c>
      <x:c r="M230" s="75" t="n">
        <x:f>IF(OR(J230="",K230=""),"",J230/(2*(1+K230)))</x:f>
        <x:v>13.116666666666667</x:v>
      </x:c>
      <x:c r="N230" s="76" t="n">
        <x:f>IF(OR(J230="",H230="",K230=""),"",SQRT(J230*1000000000*(1-K230)/(H230*(1+K230)*(1-2*K230))))</x:f>
        <x:v>3740.4693704281435</x:v>
      </x:c>
      <x:c r="O230" s="75" t="n">
        <x:f>IF(OR(H230="",N230=""),"",H230*N230/1000000)</x:f>
        <x:v>9.351173426070359</x:v>
      </x:c>
      <x:c r="P230" s="74" t="n">
        <x:f>IF(OR(J230="",G230="",K230=""),"",J230*1000000000*(G230/1000)^3/(12*(1-K230^2)))</x:f>
        <x:v>73781250</x:v>
      </x:c>
      <x:c r="Q230" s="76" t="n">
        <x:f>IF(OR(I230="",P230=""),"",343.2^2/(2*PI())*SQRT(I230/P230))</x:f>
        <x:v>59.768494599275364</x:v>
      </x:c>
      <x:c r="R230" s="58" t="n">
        <x:v>25</x:v>
      </x:c>
      <x:c r="S230" s="62" t="n">
        <x:v>2</x:v>
      </x:c>
      <x:c r="T230" s="46" t="str">
        <x:v>20 °C / kuru nominal</x:v>
      </x:c>
      <x:c r="U230" s="46" t="str">
        <x:v>ORTA</x:v>
      </x:c>
      <x:c r="V230" s="46" t="str">
        <x:v>https://eurocodes.jrc.ec.europa.eu/</x:v>
      </x:c>
      <x:c r="W230" s="50" t="str">
        <x:v>Ecm EN 1992 bağıntısından; akustik etkin E, çatlak, agrega, nem ve frekansla değişebilir. Donatı hacmi yoğunluğa dahil nominal kabul edilmiştir.</x:v>
      </x:c>
    </x:row>
    <x:row r="231">
      <x:c r="A231" s="46" t="str">
        <x:v>RC-C25_30-350</x:v>
      </x:c>
      <x:c r="B231" s="46" t="str">
        <x:v>Betonarme</x:v>
      </x:c>
      <x:c r="C231" s="46" t="str">
        <x:v>C25/30</x:v>
      </x:c>
      <x:c r="D231" s="46" t="str">
        <x:v>GENERIC / EN 1992</x:v>
      </x:c>
      <x:c r="E231" s="46" t="str">
        <x:v>C25/30</x:v>
      </x:c>
      <x:c r="F231" s="70" t="str">
        <x:v>CODE_BASED_ENGINEERING</x:v>
      </x:c>
      <x:c r="G231" s="54" t="n">
        <x:v>350</x:v>
      </x:c>
      <x:c r="H231" s="54" t="n">
        <x:v>2500</x:v>
      </x:c>
      <x:c r="I231" s="74" t="n">
        <x:f>IF(OR(G231="",H231=""),"",G231/1000*H231)</x:f>
        <x:v>875</x:v>
      </x:c>
      <x:c r="J231" s="75" t="n">
        <x:v>31.48</x:v>
      </x:c>
      <x:c r="K231" s="75" t="n">
        <x:v>0.2</x:v>
      </x:c>
      <x:c r="L231" s="75" t="n">
        <x:v>0.015</x:v>
      </x:c>
      <x:c r="M231" s="75" t="n">
        <x:f>IF(OR(J231="",K231=""),"",J231/(2*(1+K231)))</x:f>
        <x:v>13.116666666666667</x:v>
      </x:c>
      <x:c r="N231" s="76" t="n">
        <x:f>IF(OR(J231="",H231="",K231=""),"",SQRT(J231*1000000000*(1-K231)/(H231*(1+K231)*(1-2*K231))))</x:f>
        <x:v>3740.4693704281435</x:v>
      </x:c>
      <x:c r="O231" s="75" t="n">
        <x:f>IF(OR(H231="",N231=""),"",H231*N231/1000000)</x:f>
        <x:v>9.351173426070359</x:v>
      </x:c>
      <x:c r="P231" s="74" t="n">
        <x:f>IF(OR(J231="",G231="",K231=""),"",J231*1000000000*(G231/1000)^3/(12*(1-K231^2)))</x:f>
        <x:v>117161892.36111109</x:v>
      </x:c>
      <x:c r="Q231" s="76" t="n">
        <x:f>IF(OR(I231="",P231=""),"",343.2^2/(2*PI())*SQRT(I231/P231))</x:f>
        <x:v>51.23013822795032</x:v>
      </x:c>
      <x:c r="R231" s="58" t="n">
        <x:v>25</x:v>
      </x:c>
      <x:c r="S231" s="62" t="n">
        <x:v>2</x:v>
      </x:c>
      <x:c r="T231" s="46" t="str">
        <x:v>20 °C / kuru nominal</x:v>
      </x:c>
      <x:c r="U231" s="46" t="str">
        <x:v>ORTA</x:v>
      </x:c>
      <x:c r="V231" s="46" t="str">
        <x:v>https://eurocodes.jrc.ec.europa.eu/</x:v>
      </x:c>
      <x:c r="W231" s="50" t="str">
        <x:v>Ecm EN 1992 bağıntısından; akustik etkin E, çatlak, agrega, nem ve frekansla değişebilir. Donatı hacmi yoğunluğa dahil nominal kabul edilmiştir.</x:v>
      </x:c>
    </x:row>
    <x:row r="232">
      <x:c r="A232" s="46" t="str">
        <x:v>RC-C25_30-400</x:v>
      </x:c>
      <x:c r="B232" s="46" t="str">
        <x:v>Betonarme</x:v>
      </x:c>
      <x:c r="C232" s="46" t="str">
        <x:v>C25/30</x:v>
      </x:c>
      <x:c r="D232" s="46" t="str">
        <x:v>GENERIC / EN 1992</x:v>
      </x:c>
      <x:c r="E232" s="46" t="str">
        <x:v>C25/30</x:v>
      </x:c>
      <x:c r="F232" s="70" t="str">
        <x:v>CODE_BASED_ENGINEERING</x:v>
      </x:c>
      <x:c r="G232" s="54" t="n">
        <x:v>400</x:v>
      </x:c>
      <x:c r="H232" s="54" t="n">
        <x:v>2500</x:v>
      </x:c>
      <x:c r="I232" s="74" t="n">
        <x:f>IF(OR(G232="",H232=""),"",G232/1000*H232)</x:f>
        <x:v>1000</x:v>
      </x:c>
      <x:c r="J232" s="75" t="n">
        <x:v>31.48</x:v>
      </x:c>
      <x:c r="K232" s="75" t="n">
        <x:v>0.2</x:v>
      </x:c>
      <x:c r="L232" s="75" t="n">
        <x:v>0.015</x:v>
      </x:c>
      <x:c r="M232" s="75" t="n">
        <x:f>IF(OR(J232="",K232=""),"",J232/(2*(1+K232)))</x:f>
        <x:v>13.116666666666667</x:v>
      </x:c>
      <x:c r="N232" s="76" t="n">
        <x:f>IF(OR(J232="",H232="",K232=""),"",SQRT(J232*1000000000*(1-K232)/(H232*(1+K232)*(1-2*K232))))</x:f>
        <x:v>3740.4693704281435</x:v>
      </x:c>
      <x:c r="O232" s="75" t="n">
        <x:f>IF(OR(H232="",N232=""),"",H232*N232/1000000)</x:f>
        <x:v>9.351173426070359</x:v>
      </x:c>
      <x:c r="P232" s="74" t="n">
        <x:f>IF(OR(J232="",G232="",K232=""),"",J232*1000000000*(G232/1000)^3/(12*(1-K232^2)))</x:f>
        <x:v>174888888.88888893</x:v>
      </x:c>
      <x:c r="Q232" s="76" t="n">
        <x:f>IF(OR(I232="",P232=""),"",343.2^2/(2*PI())*SQRT(I232/P232))</x:f>
        <x:v>44.82637094945652</x:v>
      </x:c>
      <x:c r="R232" s="58" t="n">
        <x:v>25</x:v>
      </x:c>
      <x:c r="S232" s="62" t="n">
        <x:v>2</x:v>
      </x:c>
      <x:c r="T232" s="46" t="str">
        <x:v>20 °C / kuru nominal</x:v>
      </x:c>
      <x:c r="U232" s="46" t="str">
        <x:v>ORTA</x:v>
      </x:c>
      <x:c r="V232" s="46" t="str">
        <x:v>https://eurocodes.jrc.ec.europa.eu/</x:v>
      </x:c>
      <x:c r="W232" s="50" t="str">
        <x:v>Ecm EN 1992 bağıntısından; akustik etkin E, çatlak, agrega, nem ve frekansla değişebilir. Donatı hacmi yoğunluğa dahil nominal kabul edilmiştir.</x:v>
      </x:c>
    </x:row>
    <x:row r="233">
      <x:c r="A233" s="46" t="str">
        <x:v>RC-C30_37-80</x:v>
      </x:c>
      <x:c r="B233" s="46" t="str">
        <x:v>Betonarme</x:v>
      </x:c>
      <x:c r="C233" s="46" t="str">
        <x:v>C30/37</x:v>
      </x:c>
      <x:c r="D233" s="46" t="str">
        <x:v>GENERIC / EN 1992</x:v>
      </x:c>
      <x:c r="E233" s="46" t="str">
        <x:v>C30/37</x:v>
      </x:c>
      <x:c r="F233" s="70" t="str">
        <x:v>CODE_BASED_ENGINEERING</x:v>
      </x:c>
      <x:c r="G233" s="54" t="n">
        <x:v>80</x:v>
      </x:c>
      <x:c r="H233" s="54" t="n">
        <x:v>2500</x:v>
      </x:c>
      <x:c r="I233" s="74" t="n">
        <x:f>IF(OR(G233="",H233=""),"",G233/1000*H233)</x:f>
        <x:v>200</x:v>
      </x:c>
      <x:c r="J233" s="75" t="n">
        <x:v>32.84</x:v>
      </x:c>
      <x:c r="K233" s="75" t="n">
        <x:v>0.2</x:v>
      </x:c>
      <x:c r="L233" s="75" t="n">
        <x:v>0.015</x:v>
      </x:c>
      <x:c r="M233" s="75" t="n">
        <x:f>IF(OR(J233="",K233=""),"",J233/(2*(1+K233)))</x:f>
        <x:v>13.683333333333335</x:v>
      </x:c>
      <x:c r="N233" s="76" t="n">
        <x:f>IF(OR(J233="",H233="",K233=""),"",SQRT(J233*1000000000*(1-K233)/(H233*(1+K233)*(1-2*K233))))</x:f>
        <x:v>3820.4130085051743</x:v>
      </x:c>
      <x:c r="O233" s="75" t="n">
        <x:f>IF(OR(H233="",N233=""),"",H233*N233/1000000)</x:f>
        <x:v>9.551032521262936</x:v>
      </x:c>
      <x:c r="P233" s="74" t="n">
        <x:f>IF(OR(J233="",G233="",K233=""),"",J233*1000000000*(G233/1000)^3/(12*(1-K233^2)))</x:f>
        <x:v>1459555.555555556</x:v>
      </x:c>
      <x:c r="Q233" s="76" t="n">
        <x:f>IF(OR(I233="",P233=""),"",343.2^2/(2*PI())*SQRT(I233/P233))</x:f>
        <x:v>219.44180792837565</x:v>
      </x:c>
      <x:c r="R233" s="58" t="n">
        <x:v>30</x:v>
      </x:c>
      <x:c r="S233" s="62" t="n">
        <x:v>2</x:v>
      </x:c>
      <x:c r="T233" s="46" t="str">
        <x:v>20 °C / kuru nominal</x:v>
      </x:c>
      <x:c r="U233" s="46" t="str">
        <x:v>ORTA</x:v>
      </x:c>
      <x:c r="V233" s="46" t="str">
        <x:v>https://eurocodes.jrc.ec.europa.eu/</x:v>
      </x:c>
      <x:c r="W233" s="50" t="str">
        <x:v>Ecm EN 1992 bağıntısından; akustik etkin E, çatlak, agrega, nem ve frekansla değişebilir. Donatı hacmi yoğunluğa dahil nominal kabul edilmiştir.</x:v>
      </x:c>
    </x:row>
    <x:row r="234">
      <x:c r="A234" s="46" t="str">
        <x:v>RC-C30_37-100</x:v>
      </x:c>
      <x:c r="B234" s="46" t="str">
        <x:v>Betonarme</x:v>
      </x:c>
      <x:c r="C234" s="46" t="str">
        <x:v>C30/37</x:v>
      </x:c>
      <x:c r="D234" s="46" t="str">
        <x:v>GENERIC / EN 1992</x:v>
      </x:c>
      <x:c r="E234" s="46" t="str">
        <x:v>C30/37</x:v>
      </x:c>
      <x:c r="F234" s="70" t="str">
        <x:v>CODE_BASED_ENGINEERING</x:v>
      </x:c>
      <x:c r="G234" s="54" t="n">
        <x:v>100</x:v>
      </x:c>
      <x:c r="H234" s="54" t="n">
        <x:v>2500</x:v>
      </x:c>
      <x:c r="I234" s="74" t="n">
        <x:f>IF(OR(G234="",H234=""),"",G234/1000*H234)</x:f>
        <x:v>250</x:v>
      </x:c>
      <x:c r="J234" s="75" t="n">
        <x:v>32.84</x:v>
      </x:c>
      <x:c r="K234" s="75" t="n">
        <x:v>0.2</x:v>
      </x:c>
      <x:c r="L234" s="75" t="n">
        <x:v>0.015</x:v>
      </x:c>
      <x:c r="M234" s="75" t="n">
        <x:f>IF(OR(J234="",K234=""),"",J234/(2*(1+K234)))</x:f>
        <x:v>13.683333333333335</x:v>
      </x:c>
      <x:c r="N234" s="76" t="n">
        <x:f>IF(OR(J234="",H234="",K234=""),"",SQRT(J234*1000000000*(1-K234)/(H234*(1+K234)*(1-2*K234))))</x:f>
        <x:v>3820.4130085051743</x:v>
      </x:c>
      <x:c r="O234" s="75" t="n">
        <x:f>IF(OR(H234="",N234=""),"",H234*N234/1000000)</x:f>
        <x:v>9.551032521262936</x:v>
      </x:c>
      <x:c r="P234" s="74" t="n">
        <x:f>IF(OR(J234="",G234="",K234=""),"",J234*1000000000*(G234/1000)^3/(12*(1-K234^2)))</x:f>
        <x:v>2850694.4444444454</x:v>
      </x:c>
      <x:c r="Q234" s="76" t="n">
        <x:f>IF(OR(I234="",P234=""),"",343.2^2/(2*PI())*SQRT(I234/P234))</x:f>
        <x:v>175.55344634270054</x:v>
      </x:c>
      <x:c r="R234" s="58" t="n">
        <x:v>30</x:v>
      </x:c>
      <x:c r="S234" s="62" t="n">
        <x:v>2</x:v>
      </x:c>
      <x:c r="T234" s="46" t="str">
        <x:v>20 °C / kuru nominal</x:v>
      </x:c>
      <x:c r="U234" s="46" t="str">
        <x:v>ORTA</x:v>
      </x:c>
      <x:c r="V234" s="46" t="str">
        <x:v>https://eurocodes.jrc.ec.europa.eu/</x:v>
      </x:c>
      <x:c r="W234" s="50" t="str">
        <x:v>Ecm EN 1992 bağıntısından; akustik etkin E, çatlak, agrega, nem ve frekansla değişebilir. Donatı hacmi yoğunluğa dahil nominal kabul edilmiştir.</x:v>
      </x:c>
    </x:row>
    <x:row r="235">
      <x:c r="A235" s="46" t="str">
        <x:v>RC-C30_37-120</x:v>
      </x:c>
      <x:c r="B235" s="46" t="str">
        <x:v>Betonarme</x:v>
      </x:c>
      <x:c r="C235" s="46" t="str">
        <x:v>C30/37</x:v>
      </x:c>
      <x:c r="D235" s="46" t="str">
        <x:v>GENERIC / EN 1992</x:v>
      </x:c>
      <x:c r="E235" s="46" t="str">
        <x:v>C30/37</x:v>
      </x:c>
      <x:c r="F235" s="70" t="str">
        <x:v>CODE_BASED_ENGINEERING</x:v>
      </x:c>
      <x:c r="G235" s="54" t="n">
        <x:v>120</x:v>
      </x:c>
      <x:c r="H235" s="54" t="n">
        <x:v>2500</x:v>
      </x:c>
      <x:c r="I235" s="74" t="n">
        <x:f>IF(OR(G235="",H235=""),"",G235/1000*H235)</x:f>
        <x:v>300</x:v>
      </x:c>
      <x:c r="J235" s="75" t="n">
        <x:v>32.84</x:v>
      </x:c>
      <x:c r="K235" s="75" t="n">
        <x:v>0.2</x:v>
      </x:c>
      <x:c r="L235" s="75" t="n">
        <x:v>0.015</x:v>
      </x:c>
      <x:c r="M235" s="75" t="n">
        <x:f>IF(OR(J235="",K235=""),"",J235/(2*(1+K235)))</x:f>
        <x:v>13.683333333333335</x:v>
      </x:c>
      <x:c r="N235" s="76" t="n">
        <x:f>IF(OR(J235="",H235="",K235=""),"",SQRT(J235*1000000000*(1-K235)/(H235*(1+K235)*(1-2*K235))))</x:f>
        <x:v>3820.4130085051743</x:v>
      </x:c>
      <x:c r="O235" s="75" t="n">
        <x:f>IF(OR(H235="",N235=""),"",H235*N235/1000000)</x:f>
        <x:v>9.551032521262936</x:v>
      </x:c>
      <x:c r="P235" s="74" t="n">
        <x:f>IF(OR(J235="",G235="",K235=""),"",J235*1000000000*(G235/1000)^3/(12*(1-K235^2)))</x:f>
        <x:v>4926000.000000001</x:v>
      </x:c>
      <x:c r="Q235" s="76" t="n">
        <x:f>IF(OR(I235="",P235=""),"",343.2^2/(2*PI())*SQRT(I235/P235))</x:f>
        <x:v>146.2945386189171</x:v>
      </x:c>
      <x:c r="R235" s="58" t="n">
        <x:v>30</x:v>
      </x:c>
      <x:c r="S235" s="62" t="n">
        <x:v>2</x:v>
      </x:c>
      <x:c r="T235" s="46" t="str">
        <x:v>20 °C / kuru nominal</x:v>
      </x:c>
      <x:c r="U235" s="46" t="str">
        <x:v>ORTA</x:v>
      </x:c>
      <x:c r="V235" s="46" t="str">
        <x:v>https://eurocodes.jrc.ec.europa.eu/</x:v>
      </x:c>
      <x:c r="W235" s="50" t="str">
        <x:v>Ecm EN 1992 bağıntısından; akustik etkin E, çatlak, agrega, nem ve frekansla değişebilir. Donatı hacmi yoğunluğa dahil nominal kabul edilmiştir.</x:v>
      </x:c>
    </x:row>
    <x:row r="236">
      <x:c r="A236" s="46" t="str">
        <x:v>RC-C30_37-150</x:v>
      </x:c>
      <x:c r="B236" s="46" t="str">
        <x:v>Betonarme</x:v>
      </x:c>
      <x:c r="C236" s="46" t="str">
        <x:v>C30/37</x:v>
      </x:c>
      <x:c r="D236" s="46" t="str">
        <x:v>GENERIC / EN 1992</x:v>
      </x:c>
      <x:c r="E236" s="46" t="str">
        <x:v>C30/37</x:v>
      </x:c>
      <x:c r="F236" s="70" t="str">
        <x:v>CODE_BASED_ENGINEERING</x:v>
      </x:c>
      <x:c r="G236" s="54" t="n">
        <x:v>150</x:v>
      </x:c>
      <x:c r="H236" s="54" t="n">
        <x:v>2500</x:v>
      </x:c>
      <x:c r="I236" s="74" t="n">
        <x:f>IF(OR(G236="",H236=""),"",G236/1000*H236)</x:f>
        <x:v>375</x:v>
      </x:c>
      <x:c r="J236" s="75" t="n">
        <x:v>32.84</x:v>
      </x:c>
      <x:c r="K236" s="75" t="n">
        <x:v>0.2</x:v>
      </x:c>
      <x:c r="L236" s="75" t="n">
        <x:v>0.015</x:v>
      </x:c>
      <x:c r="M236" s="75" t="n">
        <x:f>IF(OR(J236="",K236=""),"",J236/(2*(1+K236)))</x:f>
        <x:v>13.683333333333335</x:v>
      </x:c>
      <x:c r="N236" s="76" t="n">
        <x:f>IF(OR(J236="",H236="",K236=""),"",SQRT(J236*1000000000*(1-K236)/(H236*(1+K236)*(1-2*K236))))</x:f>
        <x:v>3820.4130085051743</x:v>
      </x:c>
      <x:c r="O236" s="75" t="n">
        <x:f>IF(OR(H236="",N236=""),"",H236*N236/1000000)</x:f>
        <x:v>9.551032521262936</x:v>
      </x:c>
      <x:c r="P236" s="74" t="n">
        <x:f>IF(OR(J236="",G236="",K236=""),"",J236*1000000000*(G236/1000)^3/(12*(1-K236^2)))</x:f>
        <x:v>9621093.750000002</x:v>
      </x:c>
      <x:c r="Q236" s="76" t="n">
        <x:f>IF(OR(I236="",P236=""),"",343.2^2/(2*PI())*SQRT(I236/P236))</x:f>
        <x:v>117.03563089513369</x:v>
      </x:c>
      <x:c r="R236" s="58" t="n">
        <x:v>30</x:v>
      </x:c>
      <x:c r="S236" s="62" t="n">
        <x:v>2</x:v>
      </x:c>
      <x:c r="T236" s="46" t="str">
        <x:v>20 °C / kuru nominal</x:v>
      </x:c>
      <x:c r="U236" s="46" t="str">
        <x:v>ORTA</x:v>
      </x:c>
      <x:c r="V236" s="46" t="str">
        <x:v>https://eurocodes.jrc.ec.europa.eu/</x:v>
      </x:c>
      <x:c r="W236" s="50" t="str">
        <x:v>Ecm EN 1992 bağıntısından; akustik etkin E, çatlak, agrega, nem ve frekansla değişebilir. Donatı hacmi yoğunluğa dahil nominal kabul edilmiştir.</x:v>
      </x:c>
    </x:row>
    <x:row r="237">
      <x:c r="A237" s="46" t="str">
        <x:v>RC-C30_37-180</x:v>
      </x:c>
      <x:c r="B237" s="46" t="str">
        <x:v>Betonarme</x:v>
      </x:c>
      <x:c r="C237" s="46" t="str">
        <x:v>C30/37</x:v>
      </x:c>
      <x:c r="D237" s="46" t="str">
        <x:v>GENERIC / EN 1992</x:v>
      </x:c>
      <x:c r="E237" s="46" t="str">
        <x:v>C30/37</x:v>
      </x:c>
      <x:c r="F237" s="70" t="str">
        <x:v>CODE_BASED_ENGINEERING</x:v>
      </x:c>
      <x:c r="G237" s="54" t="n">
        <x:v>180</x:v>
      </x:c>
      <x:c r="H237" s="54" t="n">
        <x:v>2500</x:v>
      </x:c>
      <x:c r="I237" s="74" t="n">
        <x:f>IF(OR(G237="",H237=""),"",G237/1000*H237)</x:f>
        <x:v>450</x:v>
      </x:c>
      <x:c r="J237" s="75" t="n">
        <x:v>32.84</x:v>
      </x:c>
      <x:c r="K237" s="75" t="n">
        <x:v>0.2</x:v>
      </x:c>
      <x:c r="L237" s="75" t="n">
        <x:v>0.015</x:v>
      </x:c>
      <x:c r="M237" s="75" t="n">
        <x:f>IF(OR(J237="",K237=""),"",J237/(2*(1+K237)))</x:f>
        <x:v>13.683333333333335</x:v>
      </x:c>
      <x:c r="N237" s="76" t="n">
        <x:f>IF(OR(J237="",H237="",K237=""),"",SQRT(J237*1000000000*(1-K237)/(H237*(1+K237)*(1-2*K237))))</x:f>
        <x:v>3820.4130085051743</x:v>
      </x:c>
      <x:c r="O237" s="75" t="n">
        <x:f>IF(OR(H237="",N237=""),"",H237*N237/1000000)</x:f>
        <x:v>9.551032521262936</x:v>
      </x:c>
      <x:c r="P237" s="74" t="n">
        <x:f>IF(OR(J237="",G237="",K237=""),"",J237*1000000000*(G237/1000)^3/(12*(1-K237^2)))</x:f>
        <x:v>16625250</x:v>
      </x:c>
      <x:c r="Q237" s="76" t="n">
        <x:f>IF(OR(I237="",P237=""),"",343.2^2/(2*PI())*SQRT(I237/P237))</x:f>
        <x:v>97.52969241261141</x:v>
      </x:c>
      <x:c r="R237" s="58" t="n">
        <x:v>30</x:v>
      </x:c>
      <x:c r="S237" s="62" t="n">
        <x:v>2</x:v>
      </x:c>
      <x:c r="T237" s="46" t="str">
        <x:v>20 °C / kuru nominal</x:v>
      </x:c>
      <x:c r="U237" s="46" t="str">
        <x:v>ORTA</x:v>
      </x:c>
      <x:c r="V237" s="46" t="str">
        <x:v>https://eurocodes.jrc.ec.europa.eu/</x:v>
      </x:c>
      <x:c r="W237" s="50" t="str">
        <x:v>Ecm EN 1992 bağıntısından; akustik etkin E, çatlak, agrega, nem ve frekansla değişebilir. Donatı hacmi yoğunluğa dahil nominal kabul edilmiştir.</x:v>
      </x:c>
    </x:row>
    <x:row r="238">
      <x:c r="A238" s="46" t="str">
        <x:v>RC-C30_37-200</x:v>
      </x:c>
      <x:c r="B238" s="46" t="str">
        <x:v>Betonarme</x:v>
      </x:c>
      <x:c r="C238" s="46" t="str">
        <x:v>C30/37</x:v>
      </x:c>
      <x:c r="D238" s="46" t="str">
        <x:v>GENERIC / EN 1992</x:v>
      </x:c>
      <x:c r="E238" s="46" t="str">
        <x:v>C30/37</x:v>
      </x:c>
      <x:c r="F238" s="70" t="str">
        <x:v>CODE_BASED_ENGINEERING</x:v>
      </x:c>
      <x:c r="G238" s="54" t="n">
        <x:v>200</x:v>
      </x:c>
      <x:c r="H238" s="54" t="n">
        <x:v>2500</x:v>
      </x:c>
      <x:c r="I238" s="74" t="n">
        <x:f>IF(OR(G238="",H238=""),"",G238/1000*H238)</x:f>
        <x:v>500</x:v>
      </x:c>
      <x:c r="J238" s="75" t="n">
        <x:v>32.84</x:v>
      </x:c>
      <x:c r="K238" s="75" t="n">
        <x:v>0.2</x:v>
      </x:c>
      <x:c r="L238" s="75" t="n">
        <x:v>0.015</x:v>
      </x:c>
      <x:c r="M238" s="75" t="n">
        <x:f>IF(OR(J238="",K238=""),"",J238/(2*(1+K238)))</x:f>
        <x:v>13.683333333333335</x:v>
      </x:c>
      <x:c r="N238" s="76" t="n">
        <x:f>IF(OR(J238="",H238="",K238=""),"",SQRT(J238*1000000000*(1-K238)/(H238*(1+K238)*(1-2*K238))))</x:f>
        <x:v>3820.4130085051743</x:v>
      </x:c>
      <x:c r="O238" s="75" t="n">
        <x:f>IF(OR(H238="",N238=""),"",H238*N238/1000000)</x:f>
        <x:v>9.551032521262936</x:v>
      </x:c>
      <x:c r="P238" s="74" t="n">
        <x:f>IF(OR(J238="",G238="",K238=""),"",J238*1000000000*(G238/1000)^3/(12*(1-K238^2)))</x:f>
        <x:v>22805555.555555563</x:v>
      </x:c>
      <x:c r="Q238" s="76" t="n">
        <x:f>IF(OR(I238="",P238=""),"",343.2^2/(2*PI())*SQRT(I238/P238))</x:f>
        <x:v>87.77672317135027</x:v>
      </x:c>
      <x:c r="R238" s="58" t="n">
        <x:v>30</x:v>
      </x:c>
      <x:c r="S238" s="62" t="n">
        <x:v>2</x:v>
      </x:c>
      <x:c r="T238" s="46" t="str">
        <x:v>20 °C / kuru nominal</x:v>
      </x:c>
      <x:c r="U238" s="46" t="str">
        <x:v>ORTA</x:v>
      </x:c>
      <x:c r="V238" s="46" t="str">
        <x:v>https://eurocodes.jrc.ec.europa.eu/</x:v>
      </x:c>
      <x:c r="W238" s="50" t="str">
        <x:v>Ecm EN 1992 bağıntısından; akustik etkin E, çatlak, agrega, nem ve frekansla değişebilir. Donatı hacmi yoğunluğa dahil nominal kabul edilmiştir.</x:v>
      </x:c>
    </x:row>
    <x:row r="239">
      <x:c r="A239" s="46" t="str">
        <x:v>RC-C30_37-220</x:v>
      </x:c>
      <x:c r="B239" s="46" t="str">
        <x:v>Betonarme</x:v>
      </x:c>
      <x:c r="C239" s="46" t="str">
        <x:v>C30/37</x:v>
      </x:c>
      <x:c r="D239" s="46" t="str">
        <x:v>GENERIC / EN 1992</x:v>
      </x:c>
      <x:c r="E239" s="46" t="str">
        <x:v>C30/37</x:v>
      </x:c>
      <x:c r="F239" s="70" t="str">
        <x:v>CODE_BASED_ENGINEERING</x:v>
      </x:c>
      <x:c r="G239" s="54" t="n">
        <x:v>220</x:v>
      </x:c>
      <x:c r="H239" s="54" t="n">
        <x:v>2500</x:v>
      </x:c>
      <x:c r="I239" s="74" t="n">
        <x:f>IF(OR(G239="",H239=""),"",G239/1000*H239)</x:f>
        <x:v>550</x:v>
      </x:c>
      <x:c r="J239" s="75" t="n">
        <x:v>32.84</x:v>
      </x:c>
      <x:c r="K239" s="75" t="n">
        <x:v>0.2</x:v>
      </x:c>
      <x:c r="L239" s="75" t="n">
        <x:v>0.015</x:v>
      </x:c>
      <x:c r="M239" s="75" t="n">
        <x:f>IF(OR(J239="",K239=""),"",J239/(2*(1+K239)))</x:f>
        <x:v>13.683333333333335</x:v>
      </x:c>
      <x:c r="N239" s="76" t="n">
        <x:f>IF(OR(J239="",H239="",K239=""),"",SQRT(J239*1000000000*(1-K239)/(H239*(1+K239)*(1-2*K239))))</x:f>
        <x:v>3820.4130085051743</x:v>
      </x:c>
      <x:c r="O239" s="75" t="n">
        <x:f>IF(OR(H239="",N239=""),"",H239*N239/1000000)</x:f>
        <x:v>9.551032521262936</x:v>
      </x:c>
      <x:c r="P239" s="74" t="n">
        <x:f>IF(OR(J239="",G239="",K239=""),"",J239*1000000000*(G239/1000)^3/(12*(1-K239^2)))</x:f>
        <x:v>30354194.444444444</x:v>
      </x:c>
      <x:c r="Q239" s="76" t="n">
        <x:f>IF(OR(I239="",P239=""),"",343.2^2/(2*PI())*SQRT(I239/P239))</x:f>
        <x:v>79.79702106486388</x:v>
      </x:c>
      <x:c r="R239" s="58" t="n">
        <x:v>30</x:v>
      </x:c>
      <x:c r="S239" s="62" t="n">
        <x:v>2</x:v>
      </x:c>
      <x:c r="T239" s="46" t="str">
        <x:v>20 °C / kuru nominal</x:v>
      </x:c>
      <x:c r="U239" s="46" t="str">
        <x:v>ORTA</x:v>
      </x:c>
      <x:c r="V239" s="46" t="str">
        <x:v>https://eurocodes.jrc.ec.europa.eu/</x:v>
      </x:c>
      <x:c r="W239" s="50" t="str">
        <x:v>Ecm EN 1992 bağıntısından; akustik etkin E, çatlak, agrega, nem ve frekansla değişebilir. Donatı hacmi yoğunluğa dahil nominal kabul edilmiştir.</x:v>
      </x:c>
    </x:row>
    <x:row r="240">
      <x:c r="A240" s="46" t="str">
        <x:v>RC-C30_37-250</x:v>
      </x:c>
      <x:c r="B240" s="46" t="str">
        <x:v>Betonarme</x:v>
      </x:c>
      <x:c r="C240" s="46" t="str">
        <x:v>C30/37</x:v>
      </x:c>
      <x:c r="D240" s="46" t="str">
        <x:v>GENERIC / EN 1992</x:v>
      </x:c>
      <x:c r="E240" s="46" t="str">
        <x:v>C30/37</x:v>
      </x:c>
      <x:c r="F240" s="70" t="str">
        <x:v>CODE_BASED_ENGINEERING</x:v>
      </x:c>
      <x:c r="G240" s="54" t="n">
        <x:v>250</x:v>
      </x:c>
      <x:c r="H240" s="54" t="n">
        <x:v>2500</x:v>
      </x:c>
      <x:c r="I240" s="74" t="n">
        <x:f>IF(OR(G240="",H240=""),"",G240/1000*H240)</x:f>
        <x:v>625</x:v>
      </x:c>
      <x:c r="J240" s="75" t="n">
        <x:v>32.84</x:v>
      </x:c>
      <x:c r="K240" s="75" t="n">
        <x:v>0.2</x:v>
      </x:c>
      <x:c r="L240" s="75" t="n">
        <x:v>0.015</x:v>
      </x:c>
      <x:c r="M240" s="75" t="n">
        <x:f>IF(OR(J240="",K240=""),"",J240/(2*(1+K240)))</x:f>
        <x:v>13.683333333333335</x:v>
      </x:c>
      <x:c r="N240" s="76" t="n">
        <x:f>IF(OR(J240="",H240="",K240=""),"",SQRT(J240*1000000000*(1-K240)/(H240*(1+K240)*(1-2*K240))))</x:f>
        <x:v>3820.4130085051743</x:v>
      </x:c>
      <x:c r="O240" s="75" t="n">
        <x:f>IF(OR(H240="",N240=""),"",H240*N240/1000000)</x:f>
        <x:v>9.551032521262936</x:v>
      </x:c>
      <x:c r="P240" s="74" t="n">
        <x:f>IF(OR(J240="",G240="",K240=""),"",J240*1000000000*(G240/1000)^3/(12*(1-K240^2)))</x:f>
        <x:v>44542100.69444445</x:v>
      </x:c>
      <x:c r="Q240" s="76" t="n">
        <x:f>IF(OR(I240="",P240=""),"",343.2^2/(2*PI())*SQRT(I240/P240))</x:f>
        <x:v>70.22137853708021</x:v>
      </x:c>
      <x:c r="R240" s="58" t="n">
        <x:v>30</x:v>
      </x:c>
      <x:c r="S240" s="62" t="n">
        <x:v>2</x:v>
      </x:c>
      <x:c r="T240" s="46" t="str">
        <x:v>20 °C / kuru nominal</x:v>
      </x:c>
      <x:c r="U240" s="46" t="str">
        <x:v>ORTA</x:v>
      </x:c>
      <x:c r="V240" s="46" t="str">
        <x:v>https://eurocodes.jrc.ec.europa.eu/</x:v>
      </x:c>
      <x:c r="W240" s="50" t="str">
        <x:v>Ecm EN 1992 bağıntısından; akustik etkin E, çatlak, agrega, nem ve frekansla değişebilir. Donatı hacmi yoğunluğa dahil nominal kabul edilmiştir.</x:v>
      </x:c>
    </x:row>
    <x:row r="241">
      <x:c r="A241" s="46" t="str">
        <x:v>RC-C30_37-300</x:v>
      </x:c>
      <x:c r="B241" s="46" t="str">
        <x:v>Betonarme</x:v>
      </x:c>
      <x:c r="C241" s="46" t="str">
        <x:v>C30/37</x:v>
      </x:c>
      <x:c r="D241" s="46" t="str">
        <x:v>GENERIC / EN 1992</x:v>
      </x:c>
      <x:c r="E241" s="46" t="str">
        <x:v>C30/37</x:v>
      </x:c>
      <x:c r="F241" s="70" t="str">
        <x:v>CODE_BASED_ENGINEERING</x:v>
      </x:c>
      <x:c r="G241" s="54" t="n">
        <x:v>300</x:v>
      </x:c>
      <x:c r="H241" s="54" t="n">
        <x:v>2500</x:v>
      </x:c>
      <x:c r="I241" s="74" t="n">
        <x:f>IF(OR(G241="",H241=""),"",G241/1000*H241)</x:f>
        <x:v>750</x:v>
      </x:c>
      <x:c r="J241" s="75" t="n">
        <x:v>32.84</x:v>
      </x:c>
      <x:c r="K241" s="75" t="n">
        <x:v>0.2</x:v>
      </x:c>
      <x:c r="L241" s="75" t="n">
        <x:v>0.015</x:v>
      </x:c>
      <x:c r="M241" s="75" t="n">
        <x:f>IF(OR(J241="",K241=""),"",J241/(2*(1+K241)))</x:f>
        <x:v>13.683333333333335</x:v>
      </x:c>
      <x:c r="N241" s="76" t="n">
        <x:f>IF(OR(J241="",H241="",K241=""),"",SQRT(J241*1000000000*(1-K241)/(H241*(1+K241)*(1-2*K241))))</x:f>
        <x:v>3820.4130085051743</x:v>
      </x:c>
      <x:c r="O241" s="75" t="n">
        <x:f>IF(OR(H241="",N241=""),"",H241*N241/1000000)</x:f>
        <x:v>9.551032521262936</x:v>
      </x:c>
      <x:c r="P241" s="74" t="n">
        <x:f>IF(OR(J241="",G241="",K241=""),"",J241*1000000000*(G241/1000)^3/(12*(1-K241^2)))</x:f>
        <x:v>76968750.00000001</x:v>
      </x:c>
      <x:c r="Q241" s="76" t="n">
        <x:f>IF(OR(I241="",P241=""),"",343.2^2/(2*PI())*SQRT(I241/P241))</x:f>
        <x:v>58.517815447566846</x:v>
      </x:c>
      <x:c r="R241" s="58" t="n">
        <x:v>30</x:v>
      </x:c>
      <x:c r="S241" s="62" t="n">
        <x:v>2</x:v>
      </x:c>
      <x:c r="T241" s="46" t="str">
        <x:v>20 °C / kuru nominal</x:v>
      </x:c>
      <x:c r="U241" s="46" t="str">
        <x:v>ORTA</x:v>
      </x:c>
      <x:c r="V241" s="46" t="str">
        <x:v>https://eurocodes.jrc.ec.europa.eu/</x:v>
      </x:c>
      <x:c r="W241" s="50" t="str">
        <x:v>Ecm EN 1992 bağıntısından; akustik etkin E, çatlak, agrega, nem ve frekansla değişebilir. Donatı hacmi yoğunluğa dahil nominal kabul edilmiştir.</x:v>
      </x:c>
    </x:row>
    <x:row r="242">
      <x:c r="A242" s="46" t="str">
        <x:v>RC-C30_37-350</x:v>
      </x:c>
      <x:c r="B242" s="46" t="str">
        <x:v>Betonarme</x:v>
      </x:c>
      <x:c r="C242" s="46" t="str">
        <x:v>C30/37</x:v>
      </x:c>
      <x:c r="D242" s="46" t="str">
        <x:v>GENERIC / EN 1992</x:v>
      </x:c>
      <x:c r="E242" s="46" t="str">
        <x:v>C30/37</x:v>
      </x:c>
      <x:c r="F242" s="70" t="str">
        <x:v>CODE_BASED_ENGINEERING</x:v>
      </x:c>
      <x:c r="G242" s="54" t="n">
        <x:v>350</x:v>
      </x:c>
      <x:c r="H242" s="54" t="n">
        <x:v>2500</x:v>
      </x:c>
      <x:c r="I242" s="74" t="n">
        <x:f>IF(OR(G242="",H242=""),"",G242/1000*H242)</x:f>
        <x:v>875</x:v>
      </x:c>
      <x:c r="J242" s="75" t="n">
        <x:v>32.84</x:v>
      </x:c>
      <x:c r="K242" s="75" t="n">
        <x:v>0.2</x:v>
      </x:c>
      <x:c r="L242" s="75" t="n">
        <x:v>0.015</x:v>
      </x:c>
      <x:c r="M242" s="75" t="n">
        <x:f>IF(OR(J242="",K242=""),"",J242/(2*(1+K242)))</x:f>
        <x:v>13.683333333333335</x:v>
      </x:c>
      <x:c r="N242" s="76" t="n">
        <x:f>IF(OR(J242="",H242="",K242=""),"",SQRT(J242*1000000000*(1-K242)/(H242*(1+K242)*(1-2*K242))))</x:f>
        <x:v>3820.4130085051743</x:v>
      </x:c>
      <x:c r="O242" s="75" t="n">
        <x:f>IF(OR(H242="",N242=""),"",H242*N242/1000000)</x:f>
        <x:v>9.551032521262936</x:v>
      </x:c>
      <x:c r="P242" s="74" t="n">
        <x:f>IF(OR(J242="",G242="",K242=""),"",J242*1000000000*(G242/1000)^3/(12*(1-K242^2)))</x:f>
        <x:v>122223524.30555554</x:v>
      </x:c>
      <x:c r="Q242" s="76" t="n">
        <x:f>IF(OR(I242="",P242=""),"",343.2^2/(2*PI())*SQRT(I242/P242))</x:f>
        <x:v>50.15812752648588</x:v>
      </x:c>
      <x:c r="R242" s="58" t="n">
        <x:v>30</x:v>
      </x:c>
      <x:c r="S242" s="62" t="n">
        <x:v>2</x:v>
      </x:c>
      <x:c r="T242" s="46" t="str">
        <x:v>20 °C / kuru nominal</x:v>
      </x:c>
      <x:c r="U242" s="46" t="str">
        <x:v>ORTA</x:v>
      </x:c>
      <x:c r="V242" s="46" t="str">
        <x:v>https://eurocodes.jrc.ec.europa.eu/</x:v>
      </x:c>
      <x:c r="W242" s="50" t="str">
        <x:v>Ecm EN 1992 bağıntısından; akustik etkin E, çatlak, agrega, nem ve frekansla değişebilir. Donatı hacmi yoğunluğa dahil nominal kabul edilmiştir.</x:v>
      </x:c>
    </x:row>
    <x:row r="243">
      <x:c r="A243" s="46" t="str">
        <x:v>RC-C30_37-400</x:v>
      </x:c>
      <x:c r="B243" s="46" t="str">
        <x:v>Betonarme</x:v>
      </x:c>
      <x:c r="C243" s="46" t="str">
        <x:v>C30/37</x:v>
      </x:c>
      <x:c r="D243" s="46" t="str">
        <x:v>GENERIC / EN 1992</x:v>
      </x:c>
      <x:c r="E243" s="46" t="str">
        <x:v>C30/37</x:v>
      </x:c>
      <x:c r="F243" s="70" t="str">
        <x:v>CODE_BASED_ENGINEERING</x:v>
      </x:c>
      <x:c r="G243" s="54" t="n">
        <x:v>400</x:v>
      </x:c>
      <x:c r="H243" s="54" t="n">
        <x:v>2500</x:v>
      </x:c>
      <x:c r="I243" s="74" t="n">
        <x:f>IF(OR(G243="",H243=""),"",G243/1000*H243)</x:f>
        <x:v>1000</x:v>
      </x:c>
      <x:c r="J243" s="75" t="n">
        <x:v>32.84</x:v>
      </x:c>
      <x:c r="K243" s="75" t="n">
        <x:v>0.2</x:v>
      </x:c>
      <x:c r="L243" s="75" t="n">
        <x:v>0.015</x:v>
      </x:c>
      <x:c r="M243" s="75" t="n">
        <x:f>IF(OR(J243="",K243=""),"",J243/(2*(1+K243)))</x:f>
        <x:v>13.683333333333335</x:v>
      </x:c>
      <x:c r="N243" s="76" t="n">
        <x:f>IF(OR(J243="",H243="",K243=""),"",SQRT(J243*1000000000*(1-K243)/(H243*(1+K243)*(1-2*K243))))</x:f>
        <x:v>3820.4130085051743</x:v>
      </x:c>
      <x:c r="O243" s="75" t="n">
        <x:f>IF(OR(H243="",N243=""),"",H243*N243/1000000)</x:f>
        <x:v>9.551032521262936</x:v>
      </x:c>
      <x:c r="P243" s="74" t="n">
        <x:f>IF(OR(J243="",G243="",K243=""),"",J243*1000000000*(G243/1000)^3/(12*(1-K243^2)))</x:f>
        <x:v>182444444.4444445</x:v>
      </x:c>
      <x:c r="Q243" s="76" t="n">
        <x:f>IF(OR(I243="",P243=""),"",343.2^2/(2*PI())*SQRT(I243/P243))</x:f>
        <x:v>43.888361585675135</x:v>
      </x:c>
      <x:c r="R243" s="58" t="n">
        <x:v>30</x:v>
      </x:c>
      <x:c r="S243" s="62" t="n">
        <x:v>2</x:v>
      </x:c>
      <x:c r="T243" s="46" t="str">
        <x:v>20 °C / kuru nominal</x:v>
      </x:c>
      <x:c r="U243" s="46" t="str">
        <x:v>ORTA</x:v>
      </x:c>
      <x:c r="V243" s="46" t="str">
        <x:v>https://eurocodes.jrc.ec.europa.eu/</x:v>
      </x:c>
      <x:c r="W243" s="50" t="str">
        <x:v>Ecm EN 1992 bağıntısından; akustik etkin E, çatlak, agrega, nem ve frekansla değişebilir. Donatı hacmi yoğunluğa dahil nominal kabul edilmiştir.</x:v>
      </x:c>
    </x:row>
    <x:row r="244">
      <x:c r="A244" s="46" t="str">
        <x:v>RC-C35_45-80</x:v>
      </x:c>
      <x:c r="B244" s="46" t="str">
        <x:v>Betonarme</x:v>
      </x:c>
      <x:c r="C244" s="46" t="str">
        <x:v>C35/45</x:v>
      </x:c>
      <x:c r="D244" s="46" t="str">
        <x:v>GENERIC / EN 1992</x:v>
      </x:c>
      <x:c r="E244" s="46" t="str">
        <x:v>C35/45</x:v>
      </x:c>
      <x:c r="F244" s="70" t="str">
        <x:v>CODE_BASED_ENGINEERING</x:v>
      </x:c>
      <x:c r="G244" s="54" t="n">
        <x:v>80</x:v>
      </x:c>
      <x:c r="H244" s="54" t="n">
        <x:v>2500</x:v>
      </x:c>
      <x:c r="I244" s="74" t="n">
        <x:f>IF(OR(G244="",H244=""),"",G244/1000*H244)</x:f>
        <x:v>200</x:v>
      </x:c>
      <x:c r="J244" s="75" t="n">
        <x:v>34.08</x:v>
      </x:c>
      <x:c r="K244" s="75" t="n">
        <x:v>0.2</x:v>
      </x:c>
      <x:c r="L244" s="75" t="n">
        <x:v>0.015</x:v>
      </x:c>
      <x:c r="M244" s="75" t="n">
        <x:f>IF(OR(J244="",K244=""),"",J244/(2*(1+K244)))</x:f>
        <x:v>14.2</x:v>
      </x:c>
      <x:c r="N244" s="76" t="n">
        <x:f>IF(OR(J244="",H244="",K244=""),"",SQRT(J244*1000000000*(1-K244)/(H244*(1+K244)*(1-2*K244))))</x:f>
        <x:v>3891.8718718203795</x:v>
      </x:c>
      <x:c r="O244" s="75" t="n">
        <x:f>IF(OR(H244="",N244=""),"",H244*N244/1000000)</x:f>
        <x:v>9.72967967955095</x:v>
      </x:c>
      <x:c r="P244" s="74" t="n">
        <x:f>IF(OR(J244="",G244="",K244=""),"",J244*1000000000*(G244/1000)^3/(12*(1-K244^2)))</x:f>
        <x:v>1514666.666666667</x:v>
      </x:c>
      <x:c r="Q244" s="76" t="n">
        <x:f>IF(OR(I244="",P244=""),"",343.2^2/(2*PI())*SQRT(I244/P244))</x:f>
        <x:v>215.41262539748703</x:v>
      </x:c>
      <x:c r="R244" s="58" t="n">
        <x:v>35</x:v>
      </x:c>
      <x:c r="S244" s="62" t="n">
        <x:v>2</x:v>
      </x:c>
      <x:c r="T244" s="46" t="str">
        <x:v>20 °C / kuru nominal</x:v>
      </x:c>
      <x:c r="U244" s="46" t="str">
        <x:v>ORTA</x:v>
      </x:c>
      <x:c r="V244" s="46" t="str">
        <x:v>https://eurocodes.jrc.ec.europa.eu/</x:v>
      </x:c>
      <x:c r="W244" s="50" t="str">
        <x:v>Ecm EN 1992 bağıntısından; akustik etkin E, çatlak, agrega, nem ve frekansla değişebilir. Donatı hacmi yoğunluğa dahil nominal kabul edilmiştir.</x:v>
      </x:c>
    </x:row>
    <x:row r="245">
      <x:c r="A245" s="46" t="str">
        <x:v>RC-C35_45-100</x:v>
      </x:c>
      <x:c r="B245" s="46" t="str">
        <x:v>Betonarme</x:v>
      </x:c>
      <x:c r="C245" s="46" t="str">
        <x:v>C35/45</x:v>
      </x:c>
      <x:c r="D245" s="46" t="str">
        <x:v>GENERIC / EN 1992</x:v>
      </x:c>
      <x:c r="E245" s="46" t="str">
        <x:v>C35/45</x:v>
      </x:c>
      <x:c r="F245" s="70" t="str">
        <x:v>CODE_BASED_ENGINEERING</x:v>
      </x:c>
      <x:c r="G245" s="54" t="n">
        <x:v>100</x:v>
      </x:c>
      <x:c r="H245" s="54" t="n">
        <x:v>2500</x:v>
      </x:c>
      <x:c r="I245" s="74" t="n">
        <x:f>IF(OR(G245="",H245=""),"",G245/1000*H245)</x:f>
        <x:v>250</x:v>
      </x:c>
      <x:c r="J245" s="75" t="n">
        <x:v>34.08</x:v>
      </x:c>
      <x:c r="K245" s="75" t="n">
        <x:v>0.2</x:v>
      </x:c>
      <x:c r="L245" s="75" t="n">
        <x:v>0.015</x:v>
      </x:c>
      <x:c r="M245" s="75" t="n">
        <x:f>IF(OR(J245="",K245=""),"",J245/(2*(1+K245)))</x:f>
        <x:v>14.2</x:v>
      </x:c>
      <x:c r="N245" s="76" t="n">
        <x:f>IF(OR(J245="",H245="",K245=""),"",SQRT(J245*1000000000*(1-K245)/(H245*(1+K245)*(1-2*K245))))</x:f>
        <x:v>3891.8718718203795</x:v>
      </x:c>
      <x:c r="O245" s="75" t="n">
        <x:f>IF(OR(H245="",N245=""),"",H245*N245/1000000)</x:f>
        <x:v>9.72967967955095</x:v>
      </x:c>
      <x:c r="P245" s="74" t="n">
        <x:f>IF(OR(J245="",G245="",K245=""),"",J245*1000000000*(G245/1000)^3/(12*(1-K245^2)))</x:f>
        <x:v>2958333.333333334</x:v>
      </x:c>
      <x:c r="Q245" s="76" t="n">
        <x:f>IF(OR(I245="",P245=""),"",343.2^2/(2*PI())*SQRT(I245/P245))</x:f>
        <x:v>172.33010031798966</x:v>
      </x:c>
      <x:c r="R245" s="58" t="n">
        <x:v>35</x:v>
      </x:c>
      <x:c r="S245" s="62" t="n">
        <x:v>2</x:v>
      </x:c>
      <x:c r="T245" s="46" t="str">
        <x:v>20 °C / kuru nominal</x:v>
      </x:c>
      <x:c r="U245" s="46" t="str">
        <x:v>ORTA</x:v>
      </x:c>
      <x:c r="V245" s="46" t="str">
        <x:v>https://eurocodes.jrc.ec.europa.eu/</x:v>
      </x:c>
      <x:c r="W245" s="50" t="str">
        <x:v>Ecm EN 1992 bağıntısından; akustik etkin E, çatlak, agrega, nem ve frekansla değişebilir. Donatı hacmi yoğunluğa dahil nominal kabul edilmiştir.</x:v>
      </x:c>
    </x:row>
    <x:row r="246">
      <x:c r="A246" s="46" t="str">
        <x:v>RC-C35_45-120</x:v>
      </x:c>
      <x:c r="B246" s="46" t="str">
        <x:v>Betonarme</x:v>
      </x:c>
      <x:c r="C246" s="46" t="str">
        <x:v>C35/45</x:v>
      </x:c>
      <x:c r="D246" s="46" t="str">
        <x:v>GENERIC / EN 1992</x:v>
      </x:c>
      <x:c r="E246" s="46" t="str">
        <x:v>C35/45</x:v>
      </x:c>
      <x:c r="F246" s="70" t="str">
        <x:v>CODE_BASED_ENGINEERING</x:v>
      </x:c>
      <x:c r="G246" s="54" t="n">
        <x:v>120</x:v>
      </x:c>
      <x:c r="H246" s="54" t="n">
        <x:v>2500</x:v>
      </x:c>
      <x:c r="I246" s="74" t="n">
        <x:f>IF(OR(G246="",H246=""),"",G246/1000*H246)</x:f>
        <x:v>300</x:v>
      </x:c>
      <x:c r="J246" s="75" t="n">
        <x:v>34.08</x:v>
      </x:c>
      <x:c r="K246" s="75" t="n">
        <x:v>0.2</x:v>
      </x:c>
      <x:c r="L246" s="75" t="n">
        <x:v>0.015</x:v>
      </x:c>
      <x:c r="M246" s="75" t="n">
        <x:f>IF(OR(J246="",K246=""),"",J246/(2*(1+K246)))</x:f>
        <x:v>14.2</x:v>
      </x:c>
      <x:c r="N246" s="76" t="n">
        <x:f>IF(OR(J246="",H246="",K246=""),"",SQRT(J246*1000000000*(1-K246)/(H246*(1+K246)*(1-2*K246))))</x:f>
        <x:v>3891.8718718203795</x:v>
      </x:c>
      <x:c r="O246" s="75" t="n">
        <x:f>IF(OR(H246="",N246=""),"",H246*N246/1000000)</x:f>
        <x:v>9.72967967955095</x:v>
      </x:c>
      <x:c r="P246" s="74" t="n">
        <x:f>IF(OR(J246="",G246="",K246=""),"",J246*1000000000*(G246/1000)^3/(12*(1-K246^2)))</x:f>
        <x:v>5112000</x:v>
      </x:c>
      <x:c r="Q246" s="76" t="n">
        <x:f>IF(OR(I246="",P246=""),"",343.2^2/(2*PI())*SQRT(I246/P246))</x:f>
        <x:v>143.60841693165804</x:v>
      </x:c>
      <x:c r="R246" s="58" t="n">
        <x:v>35</x:v>
      </x:c>
      <x:c r="S246" s="62" t="n">
        <x:v>2</x:v>
      </x:c>
      <x:c r="T246" s="46" t="str">
        <x:v>20 °C / kuru nominal</x:v>
      </x:c>
      <x:c r="U246" s="46" t="str">
        <x:v>ORTA</x:v>
      </x:c>
      <x:c r="V246" s="46" t="str">
        <x:v>https://eurocodes.jrc.ec.europa.eu/</x:v>
      </x:c>
      <x:c r="W246" s="50" t="str">
        <x:v>Ecm EN 1992 bağıntısından; akustik etkin E, çatlak, agrega, nem ve frekansla değişebilir. Donatı hacmi yoğunluğa dahil nominal kabul edilmiştir.</x:v>
      </x:c>
    </x:row>
    <x:row r="247">
      <x:c r="A247" s="46" t="str">
        <x:v>RC-C35_45-150</x:v>
      </x:c>
      <x:c r="B247" s="46" t="str">
        <x:v>Betonarme</x:v>
      </x:c>
      <x:c r="C247" s="46" t="str">
        <x:v>C35/45</x:v>
      </x:c>
      <x:c r="D247" s="46" t="str">
        <x:v>GENERIC / EN 1992</x:v>
      </x:c>
      <x:c r="E247" s="46" t="str">
        <x:v>C35/45</x:v>
      </x:c>
      <x:c r="F247" s="70" t="str">
        <x:v>CODE_BASED_ENGINEERING</x:v>
      </x:c>
      <x:c r="G247" s="54" t="n">
        <x:v>150</x:v>
      </x:c>
      <x:c r="H247" s="54" t="n">
        <x:v>2500</x:v>
      </x:c>
      <x:c r="I247" s="74" t="n">
        <x:f>IF(OR(G247="",H247=""),"",G247/1000*H247)</x:f>
        <x:v>375</x:v>
      </x:c>
      <x:c r="J247" s="75" t="n">
        <x:v>34.08</x:v>
      </x:c>
      <x:c r="K247" s="75" t="n">
        <x:v>0.2</x:v>
      </x:c>
      <x:c r="L247" s="75" t="n">
        <x:v>0.015</x:v>
      </x:c>
      <x:c r="M247" s="75" t="n">
        <x:f>IF(OR(J247="",K247=""),"",J247/(2*(1+K247)))</x:f>
        <x:v>14.2</x:v>
      </x:c>
      <x:c r="N247" s="76" t="n">
        <x:f>IF(OR(J247="",H247="",K247=""),"",SQRT(J247*1000000000*(1-K247)/(H247*(1+K247)*(1-2*K247))))</x:f>
        <x:v>3891.8718718203795</x:v>
      </x:c>
      <x:c r="O247" s="75" t="n">
        <x:f>IF(OR(H247="",N247=""),"",H247*N247/1000000)</x:f>
        <x:v>9.72967967955095</x:v>
      </x:c>
      <x:c r="P247" s="74" t="n">
        <x:f>IF(OR(J247="",G247="",K247=""),"",J247*1000000000*(G247/1000)^3/(12*(1-K247^2)))</x:f>
        <x:v>9984375</x:v>
      </x:c>
      <x:c r="Q247" s="76" t="n">
        <x:f>IF(OR(I247="",P247=""),"",343.2^2/(2*PI())*SQRT(I247/P247))</x:f>
        <x:v>114.88673354532645</x:v>
      </x:c>
      <x:c r="R247" s="58" t="n">
        <x:v>35</x:v>
      </x:c>
      <x:c r="S247" s="62" t="n">
        <x:v>2</x:v>
      </x:c>
      <x:c r="T247" s="46" t="str">
        <x:v>20 °C / kuru nominal</x:v>
      </x:c>
      <x:c r="U247" s="46" t="str">
        <x:v>ORTA</x:v>
      </x:c>
      <x:c r="V247" s="46" t="str">
        <x:v>https://eurocodes.jrc.ec.europa.eu/</x:v>
      </x:c>
      <x:c r="W247" s="50" t="str">
        <x:v>Ecm EN 1992 bağıntısından; akustik etkin E, çatlak, agrega, nem ve frekansla değişebilir. Donatı hacmi yoğunluğa dahil nominal kabul edilmiştir.</x:v>
      </x:c>
    </x:row>
    <x:row r="248">
      <x:c r="A248" s="46" t="str">
        <x:v>RC-C35_45-180</x:v>
      </x:c>
      <x:c r="B248" s="46" t="str">
        <x:v>Betonarme</x:v>
      </x:c>
      <x:c r="C248" s="46" t="str">
        <x:v>C35/45</x:v>
      </x:c>
      <x:c r="D248" s="46" t="str">
        <x:v>GENERIC / EN 1992</x:v>
      </x:c>
      <x:c r="E248" s="46" t="str">
        <x:v>C35/45</x:v>
      </x:c>
      <x:c r="F248" s="70" t="str">
        <x:v>CODE_BASED_ENGINEERING</x:v>
      </x:c>
      <x:c r="G248" s="54" t="n">
        <x:v>180</x:v>
      </x:c>
      <x:c r="H248" s="54" t="n">
        <x:v>2500</x:v>
      </x:c>
      <x:c r="I248" s="74" t="n">
        <x:f>IF(OR(G248="",H248=""),"",G248/1000*H248)</x:f>
        <x:v>450</x:v>
      </x:c>
      <x:c r="J248" s="75" t="n">
        <x:v>34.08</x:v>
      </x:c>
      <x:c r="K248" s="75" t="n">
        <x:v>0.2</x:v>
      </x:c>
      <x:c r="L248" s="75" t="n">
        <x:v>0.015</x:v>
      </x:c>
      <x:c r="M248" s="75" t="n">
        <x:f>IF(OR(J248="",K248=""),"",J248/(2*(1+K248)))</x:f>
        <x:v>14.2</x:v>
      </x:c>
      <x:c r="N248" s="76" t="n">
        <x:f>IF(OR(J248="",H248="",K248=""),"",SQRT(J248*1000000000*(1-K248)/(H248*(1+K248)*(1-2*K248))))</x:f>
        <x:v>3891.8718718203795</x:v>
      </x:c>
      <x:c r="O248" s="75" t="n">
        <x:f>IF(OR(H248="",N248=""),"",H248*N248/1000000)</x:f>
        <x:v>9.72967967955095</x:v>
      </x:c>
      <x:c r="P248" s="74" t="n">
        <x:f>IF(OR(J248="",G248="",K248=""),"",J248*1000000000*(G248/1000)^3/(12*(1-K248^2)))</x:f>
        <x:v>17252999.999999996</x:v>
      </x:c>
      <x:c r="Q248" s="76" t="n">
        <x:f>IF(OR(I248="",P248=""),"",343.2^2/(2*PI())*SQRT(I248/P248))</x:f>
        <x:v>95.73894462110538</x:v>
      </x:c>
      <x:c r="R248" s="58" t="n">
        <x:v>35</x:v>
      </x:c>
      <x:c r="S248" s="62" t="n">
        <x:v>2</x:v>
      </x:c>
      <x:c r="T248" s="46" t="str">
        <x:v>20 °C / kuru nominal</x:v>
      </x:c>
      <x:c r="U248" s="46" t="str">
        <x:v>ORTA</x:v>
      </x:c>
      <x:c r="V248" s="46" t="str">
        <x:v>https://eurocodes.jrc.ec.europa.eu/</x:v>
      </x:c>
      <x:c r="W248" s="50" t="str">
        <x:v>Ecm EN 1992 bağıntısından; akustik etkin E, çatlak, agrega, nem ve frekansla değişebilir. Donatı hacmi yoğunluğa dahil nominal kabul edilmiştir.</x:v>
      </x:c>
    </x:row>
    <x:row r="249">
      <x:c r="A249" s="46" t="str">
        <x:v>RC-C35_45-200</x:v>
      </x:c>
      <x:c r="B249" s="46" t="str">
        <x:v>Betonarme</x:v>
      </x:c>
      <x:c r="C249" s="46" t="str">
        <x:v>C35/45</x:v>
      </x:c>
      <x:c r="D249" s="46" t="str">
        <x:v>GENERIC / EN 1992</x:v>
      </x:c>
      <x:c r="E249" s="46" t="str">
        <x:v>C35/45</x:v>
      </x:c>
      <x:c r="F249" s="70" t="str">
        <x:v>CODE_BASED_ENGINEERING</x:v>
      </x:c>
      <x:c r="G249" s="54" t="n">
        <x:v>200</x:v>
      </x:c>
      <x:c r="H249" s="54" t="n">
        <x:v>2500</x:v>
      </x:c>
      <x:c r="I249" s="74" t="n">
        <x:f>IF(OR(G249="",H249=""),"",G249/1000*H249)</x:f>
        <x:v>500</x:v>
      </x:c>
      <x:c r="J249" s="75" t="n">
        <x:v>34.08</x:v>
      </x:c>
      <x:c r="K249" s="75" t="n">
        <x:v>0.2</x:v>
      </x:c>
      <x:c r="L249" s="75" t="n">
        <x:v>0.015</x:v>
      </x:c>
      <x:c r="M249" s="75" t="n">
        <x:f>IF(OR(J249="",K249=""),"",J249/(2*(1+K249)))</x:f>
        <x:v>14.2</x:v>
      </x:c>
      <x:c r="N249" s="76" t="n">
        <x:f>IF(OR(J249="",H249="",K249=""),"",SQRT(J249*1000000000*(1-K249)/(H249*(1+K249)*(1-2*K249))))</x:f>
        <x:v>3891.8718718203795</x:v>
      </x:c>
      <x:c r="O249" s="75" t="n">
        <x:f>IF(OR(H249="",N249=""),"",H249*N249/1000000)</x:f>
        <x:v>9.72967967955095</x:v>
      </x:c>
      <x:c r="P249" s="74" t="n">
        <x:f>IF(OR(J249="",G249="",K249=""),"",J249*1000000000*(G249/1000)^3/(12*(1-K249^2)))</x:f>
        <x:v>23666666.66666667</x:v>
      </x:c>
      <x:c r="Q249" s="76" t="n">
        <x:f>IF(OR(I249="",P249=""),"",343.2^2/(2*PI())*SQRT(I249/P249))</x:f>
        <x:v>86.16505015899483</x:v>
      </x:c>
      <x:c r="R249" s="58" t="n">
        <x:v>35</x:v>
      </x:c>
      <x:c r="S249" s="62" t="n">
        <x:v>2</x:v>
      </x:c>
      <x:c r="T249" s="46" t="str">
        <x:v>20 °C / kuru nominal</x:v>
      </x:c>
      <x:c r="U249" s="46" t="str">
        <x:v>ORTA</x:v>
      </x:c>
      <x:c r="V249" s="46" t="str">
        <x:v>https://eurocodes.jrc.ec.europa.eu/</x:v>
      </x:c>
      <x:c r="W249" s="50" t="str">
        <x:v>Ecm EN 1992 bağıntısından; akustik etkin E, çatlak, agrega, nem ve frekansla değişebilir. Donatı hacmi yoğunluğa dahil nominal kabul edilmiştir.</x:v>
      </x:c>
    </x:row>
    <x:row r="250">
      <x:c r="A250" s="46" t="str">
        <x:v>RC-C35_45-220</x:v>
      </x:c>
      <x:c r="B250" s="46" t="str">
        <x:v>Betonarme</x:v>
      </x:c>
      <x:c r="C250" s="46" t="str">
        <x:v>C35/45</x:v>
      </x:c>
      <x:c r="D250" s="46" t="str">
        <x:v>GENERIC / EN 1992</x:v>
      </x:c>
      <x:c r="E250" s="46" t="str">
        <x:v>C35/45</x:v>
      </x:c>
      <x:c r="F250" s="70" t="str">
        <x:v>CODE_BASED_ENGINEERING</x:v>
      </x:c>
      <x:c r="G250" s="54" t="n">
        <x:v>220</x:v>
      </x:c>
      <x:c r="H250" s="54" t="n">
        <x:v>2500</x:v>
      </x:c>
      <x:c r="I250" s="74" t="n">
        <x:f>IF(OR(G250="",H250=""),"",G250/1000*H250)</x:f>
        <x:v>550</x:v>
      </x:c>
      <x:c r="J250" s="75" t="n">
        <x:v>34.08</x:v>
      </x:c>
      <x:c r="K250" s="75" t="n">
        <x:v>0.2</x:v>
      </x:c>
      <x:c r="L250" s="75" t="n">
        <x:v>0.015</x:v>
      </x:c>
      <x:c r="M250" s="75" t="n">
        <x:f>IF(OR(J250="",K250=""),"",J250/(2*(1+K250)))</x:f>
        <x:v>14.2</x:v>
      </x:c>
      <x:c r="N250" s="76" t="n">
        <x:f>IF(OR(J250="",H250="",K250=""),"",SQRT(J250*1000000000*(1-K250)/(H250*(1+K250)*(1-2*K250))))</x:f>
        <x:v>3891.8718718203795</x:v>
      </x:c>
      <x:c r="O250" s="75" t="n">
        <x:f>IF(OR(H250="",N250=""),"",H250*N250/1000000)</x:f>
        <x:v>9.72967967955095</x:v>
      </x:c>
      <x:c r="P250" s="74" t="n">
        <x:f>IF(OR(J250="",G250="",K250=""),"",J250*1000000000*(G250/1000)^3/(12*(1-K250^2)))</x:f>
        <x:v>31500333.333333336</x:v>
      </x:c>
      <x:c r="Q250" s="76" t="n">
        <x:f>IF(OR(I250="",P250=""),"",343.2^2/(2*PI())*SQRT(I250/P250))</x:f>
        <x:v>78.33186378090438</x:v>
      </x:c>
      <x:c r="R250" s="58" t="n">
        <x:v>35</x:v>
      </x:c>
      <x:c r="S250" s="62" t="n">
        <x:v>2</x:v>
      </x:c>
      <x:c r="T250" s="46" t="str">
        <x:v>20 °C / kuru nominal</x:v>
      </x:c>
      <x:c r="U250" s="46" t="str">
        <x:v>ORTA</x:v>
      </x:c>
      <x:c r="V250" s="46" t="str">
        <x:v>https://eurocodes.jrc.ec.europa.eu/</x:v>
      </x:c>
      <x:c r="W250" s="50" t="str">
        <x:v>Ecm EN 1992 bağıntısından; akustik etkin E, çatlak, agrega, nem ve frekansla değişebilir. Donatı hacmi yoğunluğa dahil nominal kabul edilmiştir.</x:v>
      </x:c>
    </x:row>
    <x:row r="251">
      <x:c r="A251" s="46" t="str">
        <x:v>RC-C35_45-250</x:v>
      </x:c>
      <x:c r="B251" s="46" t="str">
        <x:v>Betonarme</x:v>
      </x:c>
      <x:c r="C251" s="46" t="str">
        <x:v>C35/45</x:v>
      </x:c>
      <x:c r="D251" s="46" t="str">
        <x:v>GENERIC / EN 1992</x:v>
      </x:c>
      <x:c r="E251" s="46" t="str">
        <x:v>C35/45</x:v>
      </x:c>
      <x:c r="F251" s="70" t="str">
        <x:v>CODE_BASED_ENGINEERING</x:v>
      </x:c>
      <x:c r="G251" s="54" t="n">
        <x:v>250</x:v>
      </x:c>
      <x:c r="H251" s="54" t="n">
        <x:v>2500</x:v>
      </x:c>
      <x:c r="I251" s="74" t="n">
        <x:f>IF(OR(G251="",H251=""),"",G251/1000*H251)</x:f>
        <x:v>625</x:v>
      </x:c>
      <x:c r="J251" s="75" t="n">
        <x:v>34.08</x:v>
      </x:c>
      <x:c r="K251" s="75" t="n">
        <x:v>0.2</x:v>
      </x:c>
      <x:c r="L251" s="75" t="n">
        <x:v>0.015</x:v>
      </x:c>
      <x:c r="M251" s="75" t="n">
        <x:f>IF(OR(J251="",K251=""),"",J251/(2*(1+K251)))</x:f>
        <x:v>14.2</x:v>
      </x:c>
      <x:c r="N251" s="76" t="n">
        <x:f>IF(OR(J251="",H251="",K251=""),"",SQRT(J251*1000000000*(1-K251)/(H251*(1+K251)*(1-2*K251))))</x:f>
        <x:v>3891.8718718203795</x:v>
      </x:c>
      <x:c r="O251" s="75" t="n">
        <x:f>IF(OR(H251="",N251=""),"",H251*N251/1000000)</x:f>
        <x:v>9.72967967955095</x:v>
      </x:c>
      <x:c r="P251" s="74" t="n">
        <x:f>IF(OR(J251="",G251="",K251=""),"",J251*1000000000*(G251/1000)^3/(12*(1-K251^2)))</x:f>
        <x:v>46223958.333333336</x:v>
      </x:c>
      <x:c r="Q251" s="76" t="n">
        <x:f>IF(OR(I251="",P251=""),"",343.2^2/(2*PI())*SQRT(I251/P251))</x:f>
        <x:v>68.93204012719586</x:v>
      </x:c>
      <x:c r="R251" s="58" t="n">
        <x:v>35</x:v>
      </x:c>
      <x:c r="S251" s="62" t="n">
        <x:v>2</x:v>
      </x:c>
      <x:c r="T251" s="46" t="str">
        <x:v>20 °C / kuru nominal</x:v>
      </x:c>
      <x:c r="U251" s="46" t="str">
        <x:v>ORTA</x:v>
      </x:c>
      <x:c r="V251" s="46" t="str">
        <x:v>https://eurocodes.jrc.ec.europa.eu/</x:v>
      </x:c>
      <x:c r="W251" s="50" t="str">
        <x:v>Ecm EN 1992 bağıntısından; akustik etkin E, çatlak, agrega, nem ve frekansla değişebilir. Donatı hacmi yoğunluğa dahil nominal kabul edilmiştir.</x:v>
      </x:c>
    </x:row>
    <x:row r="252">
      <x:c r="A252" s="46" t="str">
        <x:v>RC-C35_45-300</x:v>
      </x:c>
      <x:c r="B252" s="46" t="str">
        <x:v>Betonarme</x:v>
      </x:c>
      <x:c r="C252" s="46" t="str">
        <x:v>C35/45</x:v>
      </x:c>
      <x:c r="D252" s="46" t="str">
        <x:v>GENERIC / EN 1992</x:v>
      </x:c>
      <x:c r="E252" s="46" t="str">
        <x:v>C35/45</x:v>
      </x:c>
      <x:c r="F252" s="70" t="str">
        <x:v>CODE_BASED_ENGINEERING</x:v>
      </x:c>
      <x:c r="G252" s="54" t="n">
        <x:v>300</x:v>
      </x:c>
      <x:c r="H252" s="54" t="n">
        <x:v>2500</x:v>
      </x:c>
      <x:c r="I252" s="74" t="n">
        <x:f>IF(OR(G252="",H252=""),"",G252/1000*H252)</x:f>
        <x:v>750</x:v>
      </x:c>
      <x:c r="J252" s="75" t="n">
        <x:v>34.08</x:v>
      </x:c>
      <x:c r="K252" s="75" t="n">
        <x:v>0.2</x:v>
      </x:c>
      <x:c r="L252" s="75" t="n">
        <x:v>0.015</x:v>
      </x:c>
      <x:c r="M252" s="75" t="n">
        <x:f>IF(OR(J252="",K252=""),"",J252/(2*(1+K252)))</x:f>
        <x:v>14.2</x:v>
      </x:c>
      <x:c r="N252" s="76" t="n">
        <x:f>IF(OR(J252="",H252="",K252=""),"",SQRT(J252*1000000000*(1-K252)/(H252*(1+K252)*(1-2*K252))))</x:f>
        <x:v>3891.8718718203795</x:v>
      </x:c>
      <x:c r="O252" s="75" t="n">
        <x:f>IF(OR(H252="",N252=""),"",H252*N252/1000000)</x:f>
        <x:v>9.72967967955095</x:v>
      </x:c>
      <x:c r="P252" s="74" t="n">
        <x:f>IF(OR(J252="",G252="",K252=""),"",J252*1000000000*(G252/1000)^3/(12*(1-K252^2)))</x:f>
        <x:v>79875000</x:v>
      </x:c>
      <x:c r="Q252" s="76" t="n">
        <x:f>IF(OR(I252="",P252=""),"",343.2^2/(2*PI())*SQRT(I252/P252))</x:f>
        <x:v>57.443366772663225</x:v>
      </x:c>
      <x:c r="R252" s="58" t="n">
        <x:v>35</x:v>
      </x:c>
      <x:c r="S252" s="62" t="n">
        <x:v>2</x:v>
      </x:c>
      <x:c r="T252" s="46" t="str">
        <x:v>20 °C / kuru nominal</x:v>
      </x:c>
      <x:c r="U252" s="46" t="str">
        <x:v>ORTA</x:v>
      </x:c>
      <x:c r="V252" s="46" t="str">
        <x:v>https://eurocodes.jrc.ec.europa.eu/</x:v>
      </x:c>
      <x:c r="W252" s="50" t="str">
        <x:v>Ecm EN 1992 bağıntısından; akustik etkin E, çatlak, agrega, nem ve frekansla değişebilir. Donatı hacmi yoğunluğa dahil nominal kabul edilmiştir.</x:v>
      </x:c>
    </x:row>
    <x:row r="253">
      <x:c r="A253" s="46" t="str">
        <x:v>RC-C35_45-350</x:v>
      </x:c>
      <x:c r="B253" s="46" t="str">
        <x:v>Betonarme</x:v>
      </x:c>
      <x:c r="C253" s="46" t="str">
        <x:v>C35/45</x:v>
      </x:c>
      <x:c r="D253" s="46" t="str">
        <x:v>GENERIC / EN 1992</x:v>
      </x:c>
      <x:c r="E253" s="46" t="str">
        <x:v>C35/45</x:v>
      </x:c>
      <x:c r="F253" s="70" t="str">
        <x:v>CODE_BASED_ENGINEERING</x:v>
      </x:c>
      <x:c r="G253" s="54" t="n">
        <x:v>350</x:v>
      </x:c>
      <x:c r="H253" s="54" t="n">
        <x:v>2500</x:v>
      </x:c>
      <x:c r="I253" s="74" t="n">
        <x:f>IF(OR(G253="",H253=""),"",G253/1000*H253)</x:f>
        <x:v>875</x:v>
      </x:c>
      <x:c r="J253" s="75" t="n">
        <x:v>34.08</x:v>
      </x:c>
      <x:c r="K253" s="75" t="n">
        <x:v>0.2</x:v>
      </x:c>
      <x:c r="L253" s="75" t="n">
        <x:v>0.015</x:v>
      </x:c>
      <x:c r="M253" s="75" t="n">
        <x:f>IF(OR(J253="",K253=""),"",J253/(2*(1+K253)))</x:f>
        <x:v>14.2</x:v>
      </x:c>
      <x:c r="N253" s="76" t="n">
        <x:f>IF(OR(J253="",H253="",K253=""),"",SQRT(J253*1000000000*(1-K253)/(H253*(1+K253)*(1-2*K253))))</x:f>
        <x:v>3891.8718718203795</x:v>
      </x:c>
      <x:c r="O253" s="75" t="n">
        <x:f>IF(OR(H253="",N253=""),"",H253*N253/1000000)</x:f>
        <x:v>9.72967967955095</x:v>
      </x:c>
      <x:c r="P253" s="74" t="n">
        <x:f>IF(OR(J253="",G253="",K253=""),"",J253*1000000000*(G253/1000)^3/(12*(1-K253^2)))</x:f>
        <x:v>126838541.66666666</x:v>
      </x:c>
      <x:c r="Q253" s="76" t="n">
        <x:f>IF(OR(I253="",P253=""),"",343.2^2/(2*PI())*SQRT(I253/P253))</x:f>
        <x:v>49.23717151942562</x:v>
      </x:c>
      <x:c r="R253" s="58" t="n">
        <x:v>35</x:v>
      </x:c>
      <x:c r="S253" s="62" t="n">
        <x:v>2</x:v>
      </x:c>
      <x:c r="T253" s="46" t="str">
        <x:v>20 °C / kuru nominal</x:v>
      </x:c>
      <x:c r="U253" s="46" t="str">
        <x:v>ORTA</x:v>
      </x:c>
      <x:c r="V253" s="46" t="str">
        <x:v>https://eurocodes.jrc.ec.europa.eu/</x:v>
      </x:c>
      <x:c r="W253" s="50" t="str">
        <x:v>Ecm EN 1992 bağıntısından; akustik etkin E, çatlak, agrega, nem ve frekansla değişebilir. Donatı hacmi yoğunluğa dahil nominal kabul edilmiştir.</x:v>
      </x:c>
    </x:row>
    <x:row r="254">
      <x:c r="A254" s="46" t="str">
        <x:v>RC-C35_45-400</x:v>
      </x:c>
      <x:c r="B254" s="46" t="str">
        <x:v>Betonarme</x:v>
      </x:c>
      <x:c r="C254" s="46" t="str">
        <x:v>C35/45</x:v>
      </x:c>
      <x:c r="D254" s="46" t="str">
        <x:v>GENERIC / EN 1992</x:v>
      </x:c>
      <x:c r="E254" s="46" t="str">
        <x:v>C35/45</x:v>
      </x:c>
      <x:c r="F254" s="70" t="str">
        <x:v>CODE_BASED_ENGINEERING</x:v>
      </x:c>
      <x:c r="G254" s="54" t="n">
        <x:v>400</x:v>
      </x:c>
      <x:c r="H254" s="54" t="n">
        <x:v>2500</x:v>
      </x:c>
      <x:c r="I254" s="74" t="n">
        <x:f>IF(OR(G254="",H254=""),"",G254/1000*H254)</x:f>
        <x:v>1000</x:v>
      </x:c>
      <x:c r="J254" s="75" t="n">
        <x:v>34.08</x:v>
      </x:c>
      <x:c r="K254" s="75" t="n">
        <x:v>0.2</x:v>
      </x:c>
      <x:c r="L254" s="75" t="n">
        <x:v>0.015</x:v>
      </x:c>
      <x:c r="M254" s="75" t="n">
        <x:f>IF(OR(J254="",K254=""),"",J254/(2*(1+K254)))</x:f>
        <x:v>14.2</x:v>
      </x:c>
      <x:c r="N254" s="76" t="n">
        <x:f>IF(OR(J254="",H254="",K254=""),"",SQRT(J254*1000000000*(1-K254)/(H254*(1+K254)*(1-2*K254))))</x:f>
        <x:v>3891.8718718203795</x:v>
      </x:c>
      <x:c r="O254" s="75" t="n">
        <x:f>IF(OR(H254="",N254=""),"",H254*N254/1000000)</x:f>
        <x:v>9.72967967955095</x:v>
      </x:c>
      <x:c r="P254" s="74" t="n">
        <x:f>IF(OR(J254="",G254="",K254=""),"",J254*1000000000*(G254/1000)^3/(12*(1-K254^2)))</x:f>
        <x:v>189333333.33333337</x:v>
      </x:c>
      <x:c r="Q254" s="76" t="n">
        <x:f>IF(OR(I254="",P254=""),"",343.2^2/(2*PI())*SQRT(I254/P254))</x:f>
        <x:v>43.082525079497415</x:v>
      </x:c>
      <x:c r="R254" s="58" t="n">
        <x:v>35</x:v>
      </x:c>
      <x:c r="S254" s="62" t="n">
        <x:v>2</x:v>
      </x:c>
      <x:c r="T254" s="46" t="str">
        <x:v>20 °C / kuru nominal</x:v>
      </x:c>
      <x:c r="U254" s="46" t="str">
        <x:v>ORTA</x:v>
      </x:c>
      <x:c r="V254" s="46" t="str">
        <x:v>https://eurocodes.jrc.ec.europa.eu/</x:v>
      </x:c>
      <x:c r="W254" s="50" t="str">
        <x:v>Ecm EN 1992 bağıntısından; akustik etkin E, çatlak, agrega, nem ve frekansla değişebilir. Donatı hacmi yoğunluğa dahil nominal kabul edilmiştir.</x:v>
      </x:c>
    </x:row>
    <x:row r="255">
      <x:c r="A255" s="46" t="str">
        <x:v>RC-C40_50-80</x:v>
      </x:c>
      <x:c r="B255" s="46" t="str">
        <x:v>Betonarme</x:v>
      </x:c>
      <x:c r="C255" s="46" t="str">
        <x:v>C40/50</x:v>
      </x:c>
      <x:c r="D255" s="46" t="str">
        <x:v>GENERIC / EN 1992</x:v>
      </x:c>
      <x:c r="E255" s="46" t="str">
        <x:v>C40/50</x:v>
      </x:c>
      <x:c r="F255" s="70" t="str">
        <x:v>CODE_BASED_ENGINEERING</x:v>
      </x:c>
      <x:c r="G255" s="54" t="n">
        <x:v>80</x:v>
      </x:c>
      <x:c r="H255" s="54" t="n">
        <x:v>2500</x:v>
      </x:c>
      <x:c r="I255" s="74" t="n">
        <x:f>IF(OR(G255="",H255=""),"",G255/1000*H255)</x:f>
        <x:v>200</x:v>
      </x:c>
      <x:c r="J255" s="75" t="n">
        <x:v>35.22</x:v>
      </x:c>
      <x:c r="K255" s="75" t="n">
        <x:v>0.2</x:v>
      </x:c>
      <x:c r="L255" s="75" t="n">
        <x:v>0.015</x:v>
      </x:c>
      <x:c r="M255" s="75" t="n">
        <x:f>IF(OR(J255="",K255=""),"",J255/(2*(1+K255)))</x:f>
        <x:v>14.675</x:v>
      </x:c>
      <x:c r="N255" s="76" t="n">
        <x:f>IF(OR(J255="",H255="",K255=""),"",SQRT(J255*1000000000*(1-K255)/(H255*(1+K255)*(1-2*K255))))</x:f>
        <x:v>3956.429366655411</x:v>
      </x:c>
      <x:c r="O255" s="75" t="n">
        <x:f>IF(OR(H255="",N255=""),"",H255*N255/1000000)</x:f>
        <x:v>9.891073416638527</x:v>
      </x:c>
      <x:c r="P255" s="74" t="n">
        <x:f>IF(OR(J255="",G255="",K255=""),"",J255*1000000000*(G255/1000)^3/(12*(1-K255^2)))</x:f>
        <x:v>1565333.3333333337</x:v>
      </x:c>
      <x:c r="Q255" s="76" t="n">
        <x:f>IF(OR(I255="",P255=""),"",343.2^2/(2*PI())*SQRT(I255/P255))</x:f>
        <x:v>211.89771380353773</x:v>
      </x:c>
      <x:c r="R255" s="58" t="n">
        <x:v>40</x:v>
      </x:c>
      <x:c r="S255" s="62" t="n">
        <x:v>2</x:v>
      </x:c>
      <x:c r="T255" s="46" t="str">
        <x:v>20 °C / kuru nominal</x:v>
      </x:c>
      <x:c r="U255" s="46" t="str">
        <x:v>ORTA</x:v>
      </x:c>
      <x:c r="V255" s="46" t="str">
        <x:v>https://eurocodes.jrc.ec.europa.eu/</x:v>
      </x:c>
      <x:c r="W255" s="50" t="str">
        <x:v>Ecm EN 1992 bağıntısından; akustik etkin E, çatlak, agrega, nem ve frekansla değişebilir. Donatı hacmi yoğunluğa dahil nominal kabul edilmiştir.</x:v>
      </x:c>
    </x:row>
    <x:row r="256">
      <x:c r="A256" s="46" t="str">
        <x:v>RC-C40_50-100</x:v>
      </x:c>
      <x:c r="B256" s="46" t="str">
        <x:v>Betonarme</x:v>
      </x:c>
      <x:c r="C256" s="46" t="str">
        <x:v>C40/50</x:v>
      </x:c>
      <x:c r="D256" s="46" t="str">
        <x:v>GENERIC / EN 1992</x:v>
      </x:c>
      <x:c r="E256" s="46" t="str">
        <x:v>C40/50</x:v>
      </x:c>
      <x:c r="F256" s="70" t="str">
        <x:v>CODE_BASED_ENGINEERING</x:v>
      </x:c>
      <x:c r="G256" s="54" t="n">
        <x:v>100</x:v>
      </x:c>
      <x:c r="H256" s="54" t="n">
        <x:v>2500</x:v>
      </x:c>
      <x:c r="I256" s="74" t="n">
        <x:f>IF(OR(G256="",H256=""),"",G256/1000*H256)</x:f>
        <x:v>250</x:v>
      </x:c>
      <x:c r="J256" s="75" t="n">
        <x:v>35.22</x:v>
      </x:c>
      <x:c r="K256" s="75" t="n">
        <x:v>0.2</x:v>
      </x:c>
      <x:c r="L256" s="75" t="n">
        <x:v>0.015</x:v>
      </x:c>
      <x:c r="M256" s="75" t="n">
        <x:f>IF(OR(J256="",K256=""),"",J256/(2*(1+K256)))</x:f>
        <x:v>14.675</x:v>
      </x:c>
      <x:c r="N256" s="76" t="n">
        <x:f>IF(OR(J256="",H256="",K256=""),"",SQRT(J256*1000000000*(1-K256)/(H256*(1+K256)*(1-2*K256))))</x:f>
        <x:v>3956.429366655411</x:v>
      </x:c>
      <x:c r="O256" s="75" t="n">
        <x:f>IF(OR(H256="",N256=""),"",H256*N256/1000000)</x:f>
        <x:v>9.891073416638527</x:v>
      </x:c>
      <x:c r="P256" s="74" t="n">
        <x:f>IF(OR(J256="",G256="",K256=""),"",J256*1000000000*(G256/1000)^3/(12*(1-K256^2)))</x:f>
        <x:v>3057291.6666666674</x:v>
      </x:c>
      <x:c r="Q256" s="76" t="n">
        <x:f>IF(OR(I256="",P256=""),"",343.2^2/(2*PI())*SQRT(I256/P256))</x:f>
        <x:v>169.51817104283018</x:v>
      </x:c>
      <x:c r="R256" s="58" t="n">
        <x:v>40</x:v>
      </x:c>
      <x:c r="S256" s="62" t="n">
        <x:v>2</x:v>
      </x:c>
      <x:c r="T256" s="46" t="str">
        <x:v>20 °C / kuru nominal</x:v>
      </x:c>
      <x:c r="U256" s="46" t="str">
        <x:v>ORTA</x:v>
      </x:c>
      <x:c r="V256" s="46" t="str">
        <x:v>https://eurocodes.jrc.ec.europa.eu/</x:v>
      </x:c>
      <x:c r="W256" s="50" t="str">
        <x:v>Ecm EN 1992 bağıntısından; akustik etkin E, çatlak, agrega, nem ve frekansla değişebilir. Donatı hacmi yoğunluğa dahil nominal kabul edilmiştir.</x:v>
      </x:c>
    </x:row>
    <x:row r="257">
      <x:c r="A257" s="46" t="str">
        <x:v>RC-C40_50-120</x:v>
      </x:c>
      <x:c r="B257" s="46" t="str">
        <x:v>Betonarme</x:v>
      </x:c>
      <x:c r="C257" s="46" t="str">
        <x:v>C40/50</x:v>
      </x:c>
      <x:c r="D257" s="46" t="str">
        <x:v>GENERIC / EN 1992</x:v>
      </x:c>
      <x:c r="E257" s="46" t="str">
        <x:v>C40/50</x:v>
      </x:c>
      <x:c r="F257" s="70" t="str">
        <x:v>CODE_BASED_ENGINEERING</x:v>
      </x:c>
      <x:c r="G257" s="54" t="n">
        <x:v>120</x:v>
      </x:c>
      <x:c r="H257" s="54" t="n">
        <x:v>2500</x:v>
      </x:c>
      <x:c r="I257" s="74" t="n">
        <x:f>IF(OR(G257="",H257=""),"",G257/1000*H257)</x:f>
        <x:v>300</x:v>
      </x:c>
      <x:c r="J257" s="75" t="n">
        <x:v>35.22</x:v>
      </x:c>
      <x:c r="K257" s="75" t="n">
        <x:v>0.2</x:v>
      </x:c>
      <x:c r="L257" s="75" t="n">
        <x:v>0.015</x:v>
      </x:c>
      <x:c r="M257" s="75" t="n">
        <x:f>IF(OR(J257="",K257=""),"",J257/(2*(1+K257)))</x:f>
        <x:v>14.675</x:v>
      </x:c>
      <x:c r="N257" s="76" t="n">
        <x:f>IF(OR(J257="",H257="",K257=""),"",SQRT(J257*1000000000*(1-K257)/(H257*(1+K257)*(1-2*K257))))</x:f>
        <x:v>3956.429366655411</x:v>
      </x:c>
      <x:c r="O257" s="75" t="n">
        <x:f>IF(OR(H257="",N257=""),"",H257*N257/1000000)</x:f>
        <x:v>9.891073416638527</x:v>
      </x:c>
      <x:c r="P257" s="74" t="n">
        <x:f>IF(OR(J257="",G257="",K257=""),"",J257*1000000000*(G257/1000)^3/(12*(1-K257^2)))</x:f>
        <x:v>5283000</x:v>
      </x:c>
      <x:c r="Q257" s="76" t="n">
        <x:f>IF(OR(I257="",P257=""),"",343.2^2/(2*PI())*SQRT(I257/P257))</x:f>
        <x:v>141.26514253569184</x:v>
      </x:c>
      <x:c r="R257" s="58" t="n">
        <x:v>40</x:v>
      </x:c>
      <x:c r="S257" s="62" t="n">
        <x:v>2</x:v>
      </x:c>
      <x:c r="T257" s="46" t="str">
        <x:v>20 °C / kuru nominal</x:v>
      </x:c>
      <x:c r="U257" s="46" t="str">
        <x:v>ORTA</x:v>
      </x:c>
      <x:c r="V257" s="46" t="str">
        <x:v>https://eurocodes.jrc.ec.europa.eu/</x:v>
      </x:c>
      <x:c r="W257" s="50" t="str">
        <x:v>Ecm EN 1992 bağıntısından; akustik etkin E, çatlak, agrega, nem ve frekansla değişebilir. Donatı hacmi yoğunluğa dahil nominal kabul edilmiştir.</x:v>
      </x:c>
    </x:row>
    <x:row r="258">
      <x:c r="A258" s="46" t="str">
        <x:v>RC-C40_50-150</x:v>
      </x:c>
      <x:c r="B258" s="46" t="str">
        <x:v>Betonarme</x:v>
      </x:c>
      <x:c r="C258" s="46" t="str">
        <x:v>C40/50</x:v>
      </x:c>
      <x:c r="D258" s="46" t="str">
        <x:v>GENERIC / EN 1992</x:v>
      </x:c>
      <x:c r="E258" s="46" t="str">
        <x:v>C40/50</x:v>
      </x:c>
      <x:c r="F258" s="70" t="str">
        <x:v>CODE_BASED_ENGINEERING</x:v>
      </x:c>
      <x:c r="G258" s="54" t="n">
        <x:v>150</x:v>
      </x:c>
      <x:c r="H258" s="54" t="n">
        <x:v>2500</x:v>
      </x:c>
      <x:c r="I258" s="74" t="n">
        <x:f>IF(OR(G258="",H258=""),"",G258/1000*H258)</x:f>
        <x:v>375</x:v>
      </x:c>
      <x:c r="J258" s="75" t="n">
        <x:v>35.22</x:v>
      </x:c>
      <x:c r="K258" s="75" t="n">
        <x:v>0.2</x:v>
      </x:c>
      <x:c r="L258" s="75" t="n">
        <x:v>0.015</x:v>
      </x:c>
      <x:c r="M258" s="75" t="n">
        <x:f>IF(OR(J258="",K258=""),"",J258/(2*(1+K258)))</x:f>
        <x:v>14.675</x:v>
      </x:c>
      <x:c r="N258" s="76" t="n">
        <x:f>IF(OR(J258="",H258="",K258=""),"",SQRT(J258*1000000000*(1-K258)/(H258*(1+K258)*(1-2*K258))))</x:f>
        <x:v>3956.429366655411</x:v>
      </x:c>
      <x:c r="O258" s="75" t="n">
        <x:f>IF(OR(H258="",N258=""),"",H258*N258/1000000)</x:f>
        <x:v>9.891073416638527</x:v>
      </x:c>
      <x:c r="P258" s="74" t="n">
        <x:f>IF(OR(J258="",G258="",K258=""),"",J258*1000000000*(G258/1000)^3/(12*(1-K258^2)))</x:f>
        <x:v>10318359.375</x:v>
      </x:c>
      <x:c r="Q258" s="76" t="n">
        <x:f>IF(OR(I258="",P258=""),"",343.2^2/(2*PI())*SQRT(I258/P258))</x:f>
        <x:v>113.01211402855346</x:v>
      </x:c>
      <x:c r="R258" s="58" t="n">
        <x:v>40</x:v>
      </x:c>
      <x:c r="S258" s="62" t="n">
        <x:v>2</x:v>
      </x:c>
      <x:c r="T258" s="46" t="str">
        <x:v>20 °C / kuru nominal</x:v>
      </x:c>
      <x:c r="U258" s="46" t="str">
        <x:v>ORTA</x:v>
      </x:c>
      <x:c r="V258" s="46" t="str">
        <x:v>https://eurocodes.jrc.ec.europa.eu/</x:v>
      </x:c>
      <x:c r="W258" s="50" t="str">
        <x:v>Ecm EN 1992 bağıntısından; akustik etkin E, çatlak, agrega, nem ve frekansla değişebilir. Donatı hacmi yoğunluğa dahil nominal kabul edilmiştir.</x:v>
      </x:c>
    </x:row>
    <x:row r="259">
      <x:c r="A259" s="46" t="str">
        <x:v>RC-C40_50-180</x:v>
      </x:c>
      <x:c r="B259" s="46" t="str">
        <x:v>Betonarme</x:v>
      </x:c>
      <x:c r="C259" s="46" t="str">
        <x:v>C40/50</x:v>
      </x:c>
      <x:c r="D259" s="46" t="str">
        <x:v>GENERIC / EN 1992</x:v>
      </x:c>
      <x:c r="E259" s="46" t="str">
        <x:v>C40/50</x:v>
      </x:c>
      <x:c r="F259" s="70" t="str">
        <x:v>CODE_BASED_ENGINEERING</x:v>
      </x:c>
      <x:c r="G259" s="54" t="n">
        <x:v>180</x:v>
      </x:c>
      <x:c r="H259" s="54" t="n">
        <x:v>2500</x:v>
      </x:c>
      <x:c r="I259" s="74" t="n">
        <x:f>IF(OR(G259="",H259=""),"",G259/1000*H259)</x:f>
        <x:v>450</x:v>
      </x:c>
      <x:c r="J259" s="75" t="n">
        <x:v>35.22</x:v>
      </x:c>
      <x:c r="K259" s="75" t="n">
        <x:v>0.2</x:v>
      </x:c>
      <x:c r="L259" s="75" t="n">
        <x:v>0.015</x:v>
      </x:c>
      <x:c r="M259" s="75" t="n">
        <x:f>IF(OR(J259="",K259=""),"",J259/(2*(1+K259)))</x:f>
        <x:v>14.675</x:v>
      </x:c>
      <x:c r="N259" s="76" t="n">
        <x:f>IF(OR(J259="",H259="",K259=""),"",SQRT(J259*1000000000*(1-K259)/(H259*(1+K259)*(1-2*K259))))</x:f>
        <x:v>3956.429366655411</x:v>
      </x:c>
      <x:c r="O259" s="75" t="n">
        <x:f>IF(OR(H259="",N259=""),"",H259*N259/1000000)</x:f>
        <x:v>9.891073416638527</x:v>
      </x:c>
      <x:c r="P259" s="74" t="n">
        <x:f>IF(OR(J259="",G259="",K259=""),"",J259*1000000000*(G259/1000)^3/(12*(1-K259^2)))</x:f>
        <x:v>17830124.999999996</x:v>
      </x:c>
      <x:c r="Q259" s="76" t="n">
        <x:f>IF(OR(I259="",P259=""),"",343.2^2/(2*PI())*SQRT(I259/P259))</x:f>
        <x:v>94.17676169046123</x:v>
      </x:c>
      <x:c r="R259" s="58" t="n">
        <x:v>40</x:v>
      </x:c>
      <x:c r="S259" s="62" t="n">
        <x:v>2</x:v>
      </x:c>
      <x:c r="T259" s="46" t="str">
        <x:v>20 °C / kuru nominal</x:v>
      </x:c>
      <x:c r="U259" s="46" t="str">
        <x:v>ORTA</x:v>
      </x:c>
      <x:c r="V259" s="46" t="str">
        <x:v>https://eurocodes.jrc.ec.europa.eu/</x:v>
      </x:c>
      <x:c r="W259" s="50" t="str">
        <x:v>Ecm EN 1992 bağıntısından; akustik etkin E, çatlak, agrega, nem ve frekansla değişebilir. Donatı hacmi yoğunluğa dahil nominal kabul edilmiştir.</x:v>
      </x:c>
    </x:row>
    <x:row r="260">
      <x:c r="A260" s="46" t="str">
        <x:v>RC-C40_50-200</x:v>
      </x:c>
      <x:c r="B260" s="46" t="str">
        <x:v>Betonarme</x:v>
      </x:c>
      <x:c r="C260" s="46" t="str">
        <x:v>C40/50</x:v>
      </x:c>
      <x:c r="D260" s="46" t="str">
        <x:v>GENERIC / EN 1992</x:v>
      </x:c>
      <x:c r="E260" s="46" t="str">
        <x:v>C40/50</x:v>
      </x:c>
      <x:c r="F260" s="70" t="str">
        <x:v>CODE_BASED_ENGINEERING</x:v>
      </x:c>
      <x:c r="G260" s="54" t="n">
        <x:v>200</x:v>
      </x:c>
      <x:c r="H260" s="54" t="n">
        <x:v>2500</x:v>
      </x:c>
      <x:c r="I260" s="74" t="n">
        <x:f>IF(OR(G260="",H260=""),"",G260/1000*H260)</x:f>
        <x:v>500</x:v>
      </x:c>
      <x:c r="J260" s="75" t="n">
        <x:v>35.22</x:v>
      </x:c>
      <x:c r="K260" s="75" t="n">
        <x:v>0.2</x:v>
      </x:c>
      <x:c r="L260" s="75" t="n">
        <x:v>0.015</x:v>
      </x:c>
      <x:c r="M260" s="75" t="n">
        <x:f>IF(OR(J260="",K260=""),"",J260/(2*(1+K260)))</x:f>
        <x:v>14.675</x:v>
      </x:c>
      <x:c r="N260" s="76" t="n">
        <x:f>IF(OR(J260="",H260="",K260=""),"",SQRT(J260*1000000000*(1-K260)/(H260*(1+K260)*(1-2*K260))))</x:f>
        <x:v>3956.429366655411</x:v>
      </x:c>
      <x:c r="O260" s="75" t="n">
        <x:f>IF(OR(H260="",N260=""),"",H260*N260/1000000)</x:f>
        <x:v>9.891073416638527</x:v>
      </x:c>
      <x:c r="P260" s="74" t="n">
        <x:f>IF(OR(J260="",G260="",K260=""),"",J260*1000000000*(G260/1000)^3/(12*(1-K260^2)))</x:f>
        <x:v>24458333.33333334</x:v>
      </x:c>
      <x:c r="Q260" s="76" t="n">
        <x:f>IF(OR(I260="",P260=""),"",343.2^2/(2*PI())*SQRT(I260/P260))</x:f>
        <x:v>84.75908552141509</x:v>
      </x:c>
      <x:c r="R260" s="58" t="n">
        <x:v>40</x:v>
      </x:c>
      <x:c r="S260" s="62" t="n">
        <x:v>2</x:v>
      </x:c>
      <x:c r="T260" s="46" t="str">
        <x:v>20 °C / kuru nominal</x:v>
      </x:c>
      <x:c r="U260" s="46" t="str">
        <x:v>ORTA</x:v>
      </x:c>
      <x:c r="V260" s="46" t="str">
        <x:v>https://eurocodes.jrc.ec.europa.eu/</x:v>
      </x:c>
      <x:c r="W260" s="50" t="str">
        <x:v>Ecm EN 1992 bağıntısından; akustik etkin E, çatlak, agrega, nem ve frekansla değişebilir. Donatı hacmi yoğunluğa dahil nominal kabul edilmiştir.</x:v>
      </x:c>
    </x:row>
    <x:row r="261">
      <x:c r="A261" s="46" t="str">
        <x:v>RC-C40_50-220</x:v>
      </x:c>
      <x:c r="B261" s="46" t="str">
        <x:v>Betonarme</x:v>
      </x:c>
      <x:c r="C261" s="46" t="str">
        <x:v>C40/50</x:v>
      </x:c>
      <x:c r="D261" s="46" t="str">
        <x:v>GENERIC / EN 1992</x:v>
      </x:c>
      <x:c r="E261" s="46" t="str">
        <x:v>C40/50</x:v>
      </x:c>
      <x:c r="F261" s="70" t="str">
        <x:v>CODE_BASED_ENGINEERING</x:v>
      </x:c>
      <x:c r="G261" s="54" t="n">
        <x:v>220</x:v>
      </x:c>
      <x:c r="H261" s="54" t="n">
        <x:v>2500</x:v>
      </x:c>
      <x:c r="I261" s="74" t="n">
        <x:f>IF(OR(G261="",H261=""),"",G261/1000*H261)</x:f>
        <x:v>550</x:v>
      </x:c>
      <x:c r="J261" s="75" t="n">
        <x:v>35.22</x:v>
      </x:c>
      <x:c r="K261" s="75" t="n">
        <x:v>0.2</x:v>
      </x:c>
      <x:c r="L261" s="75" t="n">
        <x:v>0.015</x:v>
      </x:c>
      <x:c r="M261" s="75" t="n">
        <x:f>IF(OR(J261="",K261=""),"",J261/(2*(1+K261)))</x:f>
        <x:v>14.675</x:v>
      </x:c>
      <x:c r="N261" s="76" t="n">
        <x:f>IF(OR(J261="",H261="",K261=""),"",SQRT(J261*1000000000*(1-K261)/(H261*(1+K261)*(1-2*K261))))</x:f>
        <x:v>3956.429366655411</x:v>
      </x:c>
      <x:c r="O261" s="75" t="n">
        <x:f>IF(OR(H261="",N261=""),"",H261*N261/1000000)</x:f>
        <x:v>9.891073416638527</x:v>
      </x:c>
      <x:c r="P261" s="74" t="n">
        <x:f>IF(OR(J261="",G261="",K261=""),"",J261*1000000000*(G261/1000)^3/(12*(1-K261^2)))</x:f>
        <x:v>32554041.666666668</x:v>
      </x:c>
      <x:c r="Q261" s="76" t="n">
        <x:f>IF(OR(I261="",P261=""),"",343.2^2/(2*PI())*SQRT(I261/P261))</x:f>
        <x:v>77.05371411037736</x:v>
      </x:c>
      <x:c r="R261" s="58" t="n">
        <x:v>40</x:v>
      </x:c>
      <x:c r="S261" s="62" t="n">
        <x:v>2</x:v>
      </x:c>
      <x:c r="T261" s="46" t="str">
        <x:v>20 °C / kuru nominal</x:v>
      </x:c>
      <x:c r="U261" s="46" t="str">
        <x:v>ORTA</x:v>
      </x:c>
      <x:c r="V261" s="46" t="str">
        <x:v>https://eurocodes.jrc.ec.europa.eu/</x:v>
      </x:c>
      <x:c r="W261" s="50" t="str">
        <x:v>Ecm EN 1992 bağıntısından; akustik etkin E, çatlak, agrega, nem ve frekansla değişebilir. Donatı hacmi yoğunluğa dahil nominal kabul edilmiştir.</x:v>
      </x:c>
    </x:row>
    <x:row r="262">
      <x:c r="A262" s="46" t="str">
        <x:v>RC-C40_50-250</x:v>
      </x:c>
      <x:c r="B262" s="46" t="str">
        <x:v>Betonarme</x:v>
      </x:c>
      <x:c r="C262" s="46" t="str">
        <x:v>C40/50</x:v>
      </x:c>
      <x:c r="D262" s="46" t="str">
        <x:v>GENERIC / EN 1992</x:v>
      </x:c>
      <x:c r="E262" s="46" t="str">
        <x:v>C40/50</x:v>
      </x:c>
      <x:c r="F262" s="70" t="str">
        <x:v>CODE_BASED_ENGINEERING</x:v>
      </x:c>
      <x:c r="G262" s="54" t="n">
        <x:v>250</x:v>
      </x:c>
      <x:c r="H262" s="54" t="n">
        <x:v>2500</x:v>
      </x:c>
      <x:c r="I262" s="74" t="n">
        <x:f>IF(OR(G262="",H262=""),"",G262/1000*H262)</x:f>
        <x:v>625</x:v>
      </x:c>
      <x:c r="J262" s="75" t="n">
        <x:v>35.22</x:v>
      </x:c>
      <x:c r="K262" s="75" t="n">
        <x:v>0.2</x:v>
      </x:c>
      <x:c r="L262" s="75" t="n">
        <x:v>0.015</x:v>
      </x:c>
      <x:c r="M262" s="75" t="n">
        <x:f>IF(OR(J262="",K262=""),"",J262/(2*(1+K262)))</x:f>
        <x:v>14.675</x:v>
      </x:c>
      <x:c r="N262" s="76" t="n">
        <x:f>IF(OR(J262="",H262="",K262=""),"",SQRT(J262*1000000000*(1-K262)/(H262*(1+K262)*(1-2*K262))))</x:f>
        <x:v>3956.429366655411</x:v>
      </x:c>
      <x:c r="O262" s="75" t="n">
        <x:f>IF(OR(H262="",N262=""),"",H262*N262/1000000)</x:f>
        <x:v>9.891073416638527</x:v>
      </x:c>
      <x:c r="P262" s="74" t="n">
        <x:f>IF(OR(J262="",G262="",K262=""),"",J262*1000000000*(G262/1000)^3/(12*(1-K262^2)))</x:f>
        <x:v>47770182.29166667</x:v>
      </x:c>
      <x:c r="Q262" s="76" t="n">
        <x:f>IF(OR(I262="",P262=""),"",343.2^2/(2*PI())*SQRT(I262/P262))</x:f>
        <x:v>67.80726841713208</x:v>
      </x:c>
      <x:c r="R262" s="58" t="n">
        <x:v>40</x:v>
      </x:c>
      <x:c r="S262" s="62" t="n">
        <x:v>2</x:v>
      </x:c>
      <x:c r="T262" s="46" t="str">
        <x:v>20 °C / kuru nominal</x:v>
      </x:c>
      <x:c r="U262" s="46" t="str">
        <x:v>ORTA</x:v>
      </x:c>
      <x:c r="V262" s="46" t="str">
        <x:v>https://eurocodes.jrc.ec.europa.eu/</x:v>
      </x:c>
      <x:c r="W262" s="50" t="str">
        <x:v>Ecm EN 1992 bağıntısından; akustik etkin E, çatlak, agrega, nem ve frekansla değişebilir. Donatı hacmi yoğunluğa dahil nominal kabul edilmiştir.</x:v>
      </x:c>
    </x:row>
    <x:row r="263">
      <x:c r="A263" s="46" t="str">
        <x:v>RC-C40_50-300</x:v>
      </x:c>
      <x:c r="B263" s="46" t="str">
        <x:v>Betonarme</x:v>
      </x:c>
      <x:c r="C263" s="46" t="str">
        <x:v>C40/50</x:v>
      </x:c>
      <x:c r="D263" s="46" t="str">
        <x:v>GENERIC / EN 1992</x:v>
      </x:c>
      <x:c r="E263" s="46" t="str">
        <x:v>C40/50</x:v>
      </x:c>
      <x:c r="F263" s="70" t="str">
        <x:v>CODE_BASED_ENGINEERING</x:v>
      </x:c>
      <x:c r="G263" s="54" t="n">
        <x:v>300</x:v>
      </x:c>
      <x:c r="H263" s="54" t="n">
        <x:v>2500</x:v>
      </x:c>
      <x:c r="I263" s="74" t="n">
        <x:f>IF(OR(G263="",H263=""),"",G263/1000*H263)</x:f>
        <x:v>750</x:v>
      </x:c>
      <x:c r="J263" s="75" t="n">
        <x:v>35.22</x:v>
      </x:c>
      <x:c r="K263" s="75" t="n">
        <x:v>0.2</x:v>
      </x:c>
      <x:c r="L263" s="75" t="n">
        <x:v>0.015</x:v>
      </x:c>
      <x:c r="M263" s="75" t="n">
        <x:f>IF(OR(J263="",K263=""),"",J263/(2*(1+K263)))</x:f>
        <x:v>14.675</x:v>
      </x:c>
      <x:c r="N263" s="76" t="n">
        <x:f>IF(OR(J263="",H263="",K263=""),"",SQRT(J263*1000000000*(1-K263)/(H263*(1+K263)*(1-2*K263))))</x:f>
        <x:v>3956.429366655411</x:v>
      </x:c>
      <x:c r="O263" s="75" t="n">
        <x:f>IF(OR(H263="",N263=""),"",H263*N263/1000000)</x:f>
        <x:v>9.891073416638527</x:v>
      </x:c>
      <x:c r="P263" s="74" t="n">
        <x:f>IF(OR(J263="",G263="",K263=""),"",J263*1000000000*(G263/1000)^3/(12*(1-K263^2)))</x:f>
        <x:v>82546875</x:v>
      </x:c>
      <x:c r="Q263" s="76" t="n">
        <x:f>IF(OR(I263="",P263=""),"",343.2^2/(2*PI())*SQRT(I263/P263))</x:f>
        <x:v>56.50605701427673</x:v>
      </x:c>
      <x:c r="R263" s="58" t="n">
        <x:v>40</x:v>
      </x:c>
      <x:c r="S263" s="62" t="n">
        <x:v>2</x:v>
      </x:c>
      <x:c r="T263" s="46" t="str">
        <x:v>20 °C / kuru nominal</x:v>
      </x:c>
      <x:c r="U263" s="46" t="str">
        <x:v>ORTA</x:v>
      </x:c>
      <x:c r="V263" s="46" t="str">
        <x:v>https://eurocodes.jrc.ec.europa.eu/</x:v>
      </x:c>
      <x:c r="W263" s="50" t="str">
        <x:v>Ecm EN 1992 bağıntısından; akustik etkin E, çatlak, agrega, nem ve frekansla değişebilir. Donatı hacmi yoğunluğa dahil nominal kabul edilmiştir.</x:v>
      </x:c>
    </x:row>
    <x:row r="264">
      <x:c r="A264" s="46" t="str">
        <x:v>RC-C40_50-350</x:v>
      </x:c>
      <x:c r="B264" s="46" t="str">
        <x:v>Betonarme</x:v>
      </x:c>
      <x:c r="C264" s="46" t="str">
        <x:v>C40/50</x:v>
      </x:c>
      <x:c r="D264" s="46" t="str">
        <x:v>GENERIC / EN 1992</x:v>
      </x:c>
      <x:c r="E264" s="46" t="str">
        <x:v>C40/50</x:v>
      </x:c>
      <x:c r="F264" s="70" t="str">
        <x:v>CODE_BASED_ENGINEERING</x:v>
      </x:c>
      <x:c r="G264" s="54" t="n">
        <x:v>350</x:v>
      </x:c>
      <x:c r="H264" s="54" t="n">
        <x:v>2500</x:v>
      </x:c>
      <x:c r="I264" s="74" t="n">
        <x:f>IF(OR(G264="",H264=""),"",G264/1000*H264)</x:f>
        <x:v>875</x:v>
      </x:c>
      <x:c r="J264" s="75" t="n">
        <x:v>35.22</x:v>
      </x:c>
      <x:c r="K264" s="75" t="n">
        <x:v>0.2</x:v>
      </x:c>
      <x:c r="L264" s="75" t="n">
        <x:v>0.015</x:v>
      </x:c>
      <x:c r="M264" s="75" t="n">
        <x:f>IF(OR(J264="",K264=""),"",J264/(2*(1+K264)))</x:f>
        <x:v>14.675</x:v>
      </x:c>
      <x:c r="N264" s="76" t="n">
        <x:f>IF(OR(J264="",H264="",K264=""),"",SQRT(J264*1000000000*(1-K264)/(H264*(1+K264)*(1-2*K264))))</x:f>
        <x:v>3956.429366655411</x:v>
      </x:c>
      <x:c r="O264" s="75" t="n">
        <x:f>IF(OR(H264="",N264=""),"",H264*N264/1000000)</x:f>
        <x:v>9.891073416638527</x:v>
      </x:c>
      <x:c r="P264" s="74" t="n">
        <x:f>IF(OR(J264="",G264="",K264=""),"",J264*1000000000*(G264/1000)^3/(12*(1-K264^2)))</x:f>
        <x:v>131081380.2083333</x:v>
      </x:c>
      <x:c r="Q264" s="76" t="n">
        <x:f>IF(OR(I264="",P264=""),"",343.2^2/(2*PI())*SQRT(I264/P264))</x:f>
        <x:v>48.43376315509435</x:v>
      </x:c>
      <x:c r="R264" s="58" t="n">
        <x:v>40</x:v>
      </x:c>
      <x:c r="S264" s="62" t="n">
        <x:v>2</x:v>
      </x:c>
      <x:c r="T264" s="46" t="str">
        <x:v>20 °C / kuru nominal</x:v>
      </x:c>
      <x:c r="U264" s="46" t="str">
        <x:v>ORTA</x:v>
      </x:c>
      <x:c r="V264" s="46" t="str">
        <x:v>https://eurocodes.jrc.ec.europa.eu/</x:v>
      </x:c>
      <x:c r="W264" s="50" t="str">
        <x:v>Ecm EN 1992 bağıntısından; akustik etkin E, çatlak, agrega, nem ve frekansla değişebilir. Donatı hacmi yoğunluğa dahil nominal kabul edilmiştir.</x:v>
      </x:c>
    </x:row>
    <x:row r="265">
      <x:c r="A265" s="46" t="str">
        <x:v>RC-C40_50-400</x:v>
      </x:c>
      <x:c r="B265" s="46" t="str">
        <x:v>Betonarme</x:v>
      </x:c>
      <x:c r="C265" s="46" t="str">
        <x:v>C40/50</x:v>
      </x:c>
      <x:c r="D265" s="46" t="str">
        <x:v>GENERIC / EN 1992</x:v>
      </x:c>
      <x:c r="E265" s="46" t="str">
        <x:v>C40/50</x:v>
      </x:c>
      <x:c r="F265" s="70" t="str">
        <x:v>CODE_BASED_ENGINEERING</x:v>
      </x:c>
      <x:c r="G265" s="54" t="n">
        <x:v>400</x:v>
      </x:c>
      <x:c r="H265" s="54" t="n">
        <x:v>2500</x:v>
      </x:c>
      <x:c r="I265" s="74" t="n">
        <x:f>IF(OR(G265="",H265=""),"",G265/1000*H265)</x:f>
        <x:v>1000</x:v>
      </x:c>
      <x:c r="J265" s="75" t="n">
        <x:v>35.22</x:v>
      </x:c>
      <x:c r="K265" s="75" t="n">
        <x:v>0.2</x:v>
      </x:c>
      <x:c r="L265" s="75" t="n">
        <x:v>0.015</x:v>
      </x:c>
      <x:c r="M265" s="75" t="n">
        <x:f>IF(OR(J265="",K265=""),"",J265/(2*(1+K265)))</x:f>
        <x:v>14.675</x:v>
      </x:c>
      <x:c r="N265" s="76" t="n">
        <x:f>IF(OR(J265="",H265="",K265=""),"",SQRT(J265*1000000000*(1-K265)/(H265*(1+K265)*(1-2*K265))))</x:f>
        <x:v>3956.429366655411</x:v>
      </x:c>
      <x:c r="O265" s="75" t="n">
        <x:f>IF(OR(H265="",N265=""),"",H265*N265/1000000)</x:f>
        <x:v>9.891073416638527</x:v>
      </x:c>
      <x:c r="P265" s="74" t="n">
        <x:f>IF(OR(J265="",G265="",K265=""),"",J265*1000000000*(G265/1000)^3/(12*(1-K265^2)))</x:f>
        <x:v>195666666.66666672</x:v>
      </x:c>
      <x:c r="Q265" s="76" t="n">
        <x:f>IF(OR(I265="",P265=""),"",343.2^2/(2*PI())*SQRT(I265/P265))</x:f>
        <x:v>42.379542760707544</x:v>
      </x:c>
      <x:c r="R265" s="58" t="n">
        <x:v>40</x:v>
      </x:c>
      <x:c r="S265" s="62" t="n">
        <x:v>2</x:v>
      </x:c>
      <x:c r="T265" s="46" t="str">
        <x:v>20 °C / kuru nominal</x:v>
      </x:c>
      <x:c r="U265" s="46" t="str">
        <x:v>ORTA</x:v>
      </x:c>
      <x:c r="V265" s="46" t="str">
        <x:v>https://eurocodes.jrc.ec.europa.eu/</x:v>
      </x:c>
      <x:c r="W265" s="50" t="str">
        <x:v>Ecm EN 1992 bağıntısından; akustik etkin E, çatlak, agrega, nem ve frekansla değişebilir. Donatı hacmi yoğunluğa dahil nominal kabul edilmiştir.</x:v>
      </x:c>
    </x:row>
    <x:row r="266">
      <x:c r="A266" s="46" t="str">
        <x:v>RC-C45_55-80</x:v>
      </x:c>
      <x:c r="B266" s="46" t="str">
        <x:v>Betonarme</x:v>
      </x:c>
      <x:c r="C266" s="46" t="str">
        <x:v>C45/55</x:v>
      </x:c>
      <x:c r="D266" s="46" t="str">
        <x:v>GENERIC / EN 1992</x:v>
      </x:c>
      <x:c r="E266" s="46" t="str">
        <x:v>C45/55</x:v>
      </x:c>
      <x:c r="F266" s="70" t="str">
        <x:v>CODE_BASED_ENGINEERING</x:v>
      </x:c>
      <x:c r="G266" s="54" t="n">
        <x:v>80</x:v>
      </x:c>
      <x:c r="H266" s="54" t="n">
        <x:v>2500</x:v>
      </x:c>
      <x:c r="I266" s="74" t="n">
        <x:f>IF(OR(G266="",H266=""),"",G266/1000*H266)</x:f>
        <x:v>200</x:v>
      </x:c>
      <x:c r="J266" s="75" t="n">
        <x:v>36.28</x:v>
      </x:c>
      <x:c r="K266" s="75" t="n">
        <x:v>0.2</x:v>
      </x:c>
      <x:c r="L266" s="75" t="n">
        <x:v>0.015</x:v>
      </x:c>
      <x:c r="M266" s="75" t="n">
        <x:f>IF(OR(J266="",K266=""),"",J266/(2*(1+K266)))</x:f>
        <x:v>15.116666666666667</x:v>
      </x:c>
      <x:c r="N266" s="76" t="n">
        <x:f>IF(OR(J266="",H266="",K266=""),"",SQRT(J266*1000000000*(1-K266)/(H266*(1+K266)*(1-2*K266))))</x:f>
        <x:v>4015.5254257001593</x:v>
      </x:c>
      <x:c r="O266" s="75" t="n">
        <x:f>IF(OR(H266="",N266=""),"",H266*N266/1000000)</x:f>
        <x:v>10.038813564250399</x:v>
      </x:c>
      <x:c r="P266" s="74" t="n">
        <x:f>IF(OR(J266="",G266="",K266=""),"",J266*1000000000*(G266/1000)^3/(12*(1-K266^2)))</x:f>
        <x:v>1612444.4444444447</x:v>
      </x:c>
      <x:c r="Q266" s="76" t="n">
        <x:f>IF(OR(I266="",P266=""),"",343.2^2/(2*PI())*SQRT(I266/P266))</x:f>
        <x:v>208.77923776893567</x:v>
      </x:c>
      <x:c r="R266" s="58" t="n">
        <x:v>45</x:v>
      </x:c>
      <x:c r="S266" s="62" t="n">
        <x:v>2</x:v>
      </x:c>
      <x:c r="T266" s="46" t="str">
        <x:v>20 °C / kuru nominal</x:v>
      </x:c>
      <x:c r="U266" s="46" t="str">
        <x:v>ORTA</x:v>
      </x:c>
      <x:c r="V266" s="46" t="str">
        <x:v>https://eurocodes.jrc.ec.europa.eu/</x:v>
      </x:c>
      <x:c r="W266" s="50" t="str">
        <x:v>Ecm EN 1992 bağıntısından; akustik etkin E, çatlak, agrega, nem ve frekansla değişebilir. Donatı hacmi yoğunluğa dahil nominal kabul edilmiştir.</x:v>
      </x:c>
    </x:row>
    <x:row r="267">
      <x:c r="A267" s="46" t="str">
        <x:v>RC-C45_55-100</x:v>
      </x:c>
      <x:c r="B267" s="46" t="str">
        <x:v>Betonarme</x:v>
      </x:c>
      <x:c r="C267" s="46" t="str">
        <x:v>C45/55</x:v>
      </x:c>
      <x:c r="D267" s="46" t="str">
        <x:v>GENERIC / EN 1992</x:v>
      </x:c>
      <x:c r="E267" s="46" t="str">
        <x:v>C45/55</x:v>
      </x:c>
      <x:c r="F267" s="70" t="str">
        <x:v>CODE_BASED_ENGINEERING</x:v>
      </x:c>
      <x:c r="G267" s="54" t="n">
        <x:v>100</x:v>
      </x:c>
      <x:c r="H267" s="54" t="n">
        <x:v>2500</x:v>
      </x:c>
      <x:c r="I267" s="74" t="n">
        <x:f>IF(OR(G267="",H267=""),"",G267/1000*H267)</x:f>
        <x:v>250</x:v>
      </x:c>
      <x:c r="J267" s="75" t="n">
        <x:v>36.28</x:v>
      </x:c>
      <x:c r="K267" s="75" t="n">
        <x:v>0.2</x:v>
      </x:c>
      <x:c r="L267" s="75" t="n">
        <x:v>0.015</x:v>
      </x:c>
      <x:c r="M267" s="75" t="n">
        <x:f>IF(OR(J267="",K267=""),"",J267/(2*(1+K267)))</x:f>
        <x:v>15.116666666666667</x:v>
      </x:c>
      <x:c r="N267" s="76" t="n">
        <x:f>IF(OR(J267="",H267="",K267=""),"",SQRT(J267*1000000000*(1-K267)/(H267*(1+K267)*(1-2*K267))))</x:f>
        <x:v>4015.5254257001593</x:v>
      </x:c>
      <x:c r="O267" s="75" t="n">
        <x:f>IF(OR(H267="",N267=""),"",H267*N267/1000000)</x:f>
        <x:v>10.038813564250399</x:v>
      </x:c>
      <x:c r="P267" s="74" t="n">
        <x:f>IF(OR(J267="",G267="",K267=""),"",J267*1000000000*(G267/1000)^3/(12*(1-K267^2)))</x:f>
        <x:v>3149305.5555555564</x:v>
      </x:c>
      <x:c r="Q267" s="76" t="n">
        <x:f>IF(OR(I267="",P267=""),"",343.2^2/(2*PI())*SQRT(I267/P267))</x:f>
        <x:v>167.02339021514854</x:v>
      </x:c>
      <x:c r="R267" s="58" t="n">
        <x:v>45</x:v>
      </x:c>
      <x:c r="S267" s="62" t="n">
        <x:v>2</x:v>
      </x:c>
      <x:c r="T267" s="46" t="str">
        <x:v>20 °C / kuru nominal</x:v>
      </x:c>
      <x:c r="U267" s="46" t="str">
        <x:v>ORTA</x:v>
      </x:c>
      <x:c r="V267" s="46" t="str">
        <x:v>https://eurocodes.jrc.ec.europa.eu/</x:v>
      </x:c>
      <x:c r="W267" s="50" t="str">
        <x:v>Ecm EN 1992 bağıntısından; akustik etkin E, çatlak, agrega, nem ve frekansla değişebilir. Donatı hacmi yoğunluğa dahil nominal kabul edilmiştir.</x:v>
      </x:c>
    </x:row>
    <x:row r="268">
      <x:c r="A268" s="46" t="str">
        <x:v>RC-C45_55-120</x:v>
      </x:c>
      <x:c r="B268" s="46" t="str">
        <x:v>Betonarme</x:v>
      </x:c>
      <x:c r="C268" s="46" t="str">
        <x:v>C45/55</x:v>
      </x:c>
      <x:c r="D268" s="46" t="str">
        <x:v>GENERIC / EN 1992</x:v>
      </x:c>
      <x:c r="E268" s="46" t="str">
        <x:v>C45/55</x:v>
      </x:c>
      <x:c r="F268" s="70" t="str">
        <x:v>CODE_BASED_ENGINEERING</x:v>
      </x:c>
      <x:c r="G268" s="54" t="n">
        <x:v>120</x:v>
      </x:c>
      <x:c r="H268" s="54" t="n">
        <x:v>2500</x:v>
      </x:c>
      <x:c r="I268" s="74" t="n">
        <x:f>IF(OR(G268="",H268=""),"",G268/1000*H268)</x:f>
        <x:v>300</x:v>
      </x:c>
      <x:c r="J268" s="75" t="n">
        <x:v>36.28</x:v>
      </x:c>
      <x:c r="K268" s="75" t="n">
        <x:v>0.2</x:v>
      </x:c>
      <x:c r="L268" s="75" t="n">
        <x:v>0.015</x:v>
      </x:c>
      <x:c r="M268" s="75" t="n">
        <x:f>IF(OR(J268="",K268=""),"",J268/(2*(1+K268)))</x:f>
        <x:v>15.116666666666667</x:v>
      </x:c>
      <x:c r="N268" s="76" t="n">
        <x:f>IF(OR(J268="",H268="",K268=""),"",SQRT(J268*1000000000*(1-K268)/(H268*(1+K268)*(1-2*K268))))</x:f>
        <x:v>4015.5254257001593</x:v>
      </x:c>
      <x:c r="O268" s="75" t="n">
        <x:f>IF(OR(H268="",N268=""),"",H268*N268/1000000)</x:f>
        <x:v>10.038813564250399</x:v>
      </x:c>
      <x:c r="P268" s="74" t="n">
        <x:f>IF(OR(J268="",G268="",K268=""),"",J268*1000000000*(G268/1000)^3/(12*(1-K268^2)))</x:f>
        <x:v>5442000</x:v>
      </x:c>
      <x:c r="Q268" s="76" t="n">
        <x:f>IF(OR(I268="",P268=""),"",343.2^2/(2*PI())*SQRT(I268/P268))</x:f>
        <x:v>139.18615851262382</x:v>
      </x:c>
      <x:c r="R268" s="58" t="n">
        <x:v>45</x:v>
      </x:c>
      <x:c r="S268" s="62" t="n">
        <x:v>2</x:v>
      </x:c>
      <x:c r="T268" s="46" t="str">
        <x:v>20 °C / kuru nominal</x:v>
      </x:c>
      <x:c r="U268" s="46" t="str">
        <x:v>ORTA</x:v>
      </x:c>
      <x:c r="V268" s="46" t="str">
        <x:v>https://eurocodes.jrc.ec.europa.eu/</x:v>
      </x:c>
      <x:c r="W268" s="50" t="str">
        <x:v>Ecm EN 1992 bağıntısından; akustik etkin E, çatlak, agrega, nem ve frekansla değişebilir. Donatı hacmi yoğunluğa dahil nominal kabul edilmiştir.</x:v>
      </x:c>
    </x:row>
    <x:row r="269">
      <x:c r="A269" s="46" t="str">
        <x:v>RC-C45_55-150</x:v>
      </x:c>
      <x:c r="B269" s="46" t="str">
        <x:v>Betonarme</x:v>
      </x:c>
      <x:c r="C269" s="46" t="str">
        <x:v>C45/55</x:v>
      </x:c>
      <x:c r="D269" s="46" t="str">
        <x:v>GENERIC / EN 1992</x:v>
      </x:c>
      <x:c r="E269" s="46" t="str">
        <x:v>C45/55</x:v>
      </x:c>
      <x:c r="F269" s="70" t="str">
        <x:v>CODE_BASED_ENGINEERING</x:v>
      </x:c>
      <x:c r="G269" s="54" t="n">
        <x:v>150</x:v>
      </x:c>
      <x:c r="H269" s="54" t="n">
        <x:v>2500</x:v>
      </x:c>
      <x:c r="I269" s="74" t="n">
        <x:f>IF(OR(G269="",H269=""),"",G269/1000*H269)</x:f>
        <x:v>375</x:v>
      </x:c>
      <x:c r="J269" s="75" t="n">
        <x:v>36.28</x:v>
      </x:c>
      <x:c r="K269" s="75" t="n">
        <x:v>0.2</x:v>
      </x:c>
      <x:c r="L269" s="75" t="n">
        <x:v>0.015</x:v>
      </x:c>
      <x:c r="M269" s="75" t="n">
        <x:f>IF(OR(J269="",K269=""),"",J269/(2*(1+K269)))</x:f>
        <x:v>15.116666666666667</x:v>
      </x:c>
      <x:c r="N269" s="76" t="n">
        <x:f>IF(OR(J269="",H269="",K269=""),"",SQRT(J269*1000000000*(1-K269)/(H269*(1+K269)*(1-2*K269))))</x:f>
        <x:v>4015.5254257001593</x:v>
      </x:c>
      <x:c r="O269" s="75" t="n">
        <x:f>IF(OR(H269="",N269=""),"",H269*N269/1000000)</x:f>
        <x:v>10.038813564250399</x:v>
      </x:c>
      <x:c r="P269" s="74" t="n">
        <x:f>IF(OR(J269="",G269="",K269=""),"",J269*1000000000*(G269/1000)^3/(12*(1-K269^2)))</x:f>
        <x:v>10628906.25</x:v>
      </x:c>
      <x:c r="Q269" s="76" t="n">
        <x:f>IF(OR(I269="",P269=""),"",343.2^2/(2*PI())*SQRT(I269/P269))</x:f>
        <x:v>111.34892681009904</x:v>
      </x:c>
      <x:c r="R269" s="58" t="n">
        <x:v>45</x:v>
      </x:c>
      <x:c r="S269" s="62" t="n">
        <x:v>2</x:v>
      </x:c>
      <x:c r="T269" s="46" t="str">
        <x:v>20 °C / kuru nominal</x:v>
      </x:c>
      <x:c r="U269" s="46" t="str">
        <x:v>ORTA</x:v>
      </x:c>
      <x:c r="V269" s="46" t="str">
        <x:v>https://eurocodes.jrc.ec.europa.eu/</x:v>
      </x:c>
      <x:c r="W269" s="50" t="str">
        <x:v>Ecm EN 1992 bağıntısından; akustik etkin E, çatlak, agrega, nem ve frekansla değişebilir. Donatı hacmi yoğunluğa dahil nominal kabul edilmiştir.</x:v>
      </x:c>
    </x:row>
    <x:row r="270">
      <x:c r="A270" s="46" t="str">
        <x:v>RC-C45_55-180</x:v>
      </x:c>
      <x:c r="B270" s="46" t="str">
        <x:v>Betonarme</x:v>
      </x:c>
      <x:c r="C270" s="46" t="str">
        <x:v>C45/55</x:v>
      </x:c>
      <x:c r="D270" s="46" t="str">
        <x:v>GENERIC / EN 1992</x:v>
      </x:c>
      <x:c r="E270" s="46" t="str">
        <x:v>C45/55</x:v>
      </x:c>
      <x:c r="F270" s="70" t="str">
        <x:v>CODE_BASED_ENGINEERING</x:v>
      </x:c>
      <x:c r="G270" s="54" t="n">
        <x:v>180</x:v>
      </x:c>
      <x:c r="H270" s="54" t="n">
        <x:v>2500</x:v>
      </x:c>
      <x:c r="I270" s="74" t="n">
        <x:f>IF(OR(G270="",H270=""),"",G270/1000*H270)</x:f>
        <x:v>450</x:v>
      </x:c>
      <x:c r="J270" s="75" t="n">
        <x:v>36.28</x:v>
      </x:c>
      <x:c r="K270" s="75" t="n">
        <x:v>0.2</x:v>
      </x:c>
      <x:c r="L270" s="75" t="n">
        <x:v>0.015</x:v>
      </x:c>
      <x:c r="M270" s="75" t="n">
        <x:f>IF(OR(J270="",K270=""),"",J270/(2*(1+K270)))</x:f>
        <x:v>15.116666666666667</x:v>
      </x:c>
      <x:c r="N270" s="76" t="n">
        <x:f>IF(OR(J270="",H270="",K270=""),"",SQRT(J270*1000000000*(1-K270)/(H270*(1+K270)*(1-2*K270))))</x:f>
        <x:v>4015.5254257001593</x:v>
      </x:c>
      <x:c r="O270" s="75" t="n">
        <x:f>IF(OR(H270="",N270=""),"",H270*N270/1000000)</x:f>
        <x:v>10.038813564250399</x:v>
      </x:c>
      <x:c r="P270" s="74" t="n">
        <x:f>IF(OR(J270="",G270="",K270=""),"",J270*1000000000*(G270/1000)^3/(12*(1-K270^2)))</x:f>
        <x:v>18366749.999999996</x:v>
      </x:c>
      <x:c r="Q270" s="76" t="n">
        <x:f>IF(OR(I270="",P270=""),"",343.2^2/(2*PI())*SQRT(I270/P270))</x:f>
        <x:v>92.7907723417492</x:v>
      </x:c>
      <x:c r="R270" s="58" t="n">
        <x:v>45</x:v>
      </x:c>
      <x:c r="S270" s="62" t="n">
        <x:v>2</x:v>
      </x:c>
      <x:c r="T270" s="46" t="str">
        <x:v>20 °C / kuru nominal</x:v>
      </x:c>
      <x:c r="U270" s="46" t="str">
        <x:v>ORTA</x:v>
      </x:c>
      <x:c r="V270" s="46" t="str">
        <x:v>https://eurocodes.jrc.ec.europa.eu/</x:v>
      </x:c>
      <x:c r="W270" s="50" t="str">
        <x:v>Ecm EN 1992 bağıntısından; akustik etkin E, çatlak, agrega, nem ve frekansla değişebilir. Donatı hacmi yoğunluğa dahil nominal kabul edilmiştir.</x:v>
      </x:c>
    </x:row>
    <x:row r="271">
      <x:c r="A271" s="46" t="str">
        <x:v>RC-C45_55-200</x:v>
      </x:c>
      <x:c r="B271" s="46" t="str">
        <x:v>Betonarme</x:v>
      </x:c>
      <x:c r="C271" s="46" t="str">
        <x:v>C45/55</x:v>
      </x:c>
      <x:c r="D271" s="46" t="str">
        <x:v>GENERIC / EN 1992</x:v>
      </x:c>
      <x:c r="E271" s="46" t="str">
        <x:v>C45/55</x:v>
      </x:c>
      <x:c r="F271" s="70" t="str">
        <x:v>CODE_BASED_ENGINEERING</x:v>
      </x:c>
      <x:c r="G271" s="54" t="n">
        <x:v>200</x:v>
      </x:c>
      <x:c r="H271" s="54" t="n">
        <x:v>2500</x:v>
      </x:c>
      <x:c r="I271" s="74" t="n">
        <x:f>IF(OR(G271="",H271=""),"",G271/1000*H271)</x:f>
        <x:v>500</x:v>
      </x:c>
      <x:c r="J271" s="75" t="n">
        <x:v>36.28</x:v>
      </x:c>
      <x:c r="K271" s="75" t="n">
        <x:v>0.2</x:v>
      </x:c>
      <x:c r="L271" s="75" t="n">
        <x:v>0.015</x:v>
      </x:c>
      <x:c r="M271" s="75" t="n">
        <x:f>IF(OR(J271="",K271=""),"",J271/(2*(1+K271)))</x:f>
        <x:v>15.116666666666667</x:v>
      </x:c>
      <x:c r="N271" s="76" t="n">
        <x:f>IF(OR(J271="",H271="",K271=""),"",SQRT(J271*1000000000*(1-K271)/(H271*(1+K271)*(1-2*K271))))</x:f>
        <x:v>4015.5254257001593</x:v>
      </x:c>
      <x:c r="O271" s="75" t="n">
        <x:f>IF(OR(H271="",N271=""),"",H271*N271/1000000)</x:f>
        <x:v>10.038813564250399</x:v>
      </x:c>
      <x:c r="P271" s="74" t="n">
        <x:f>IF(OR(J271="",G271="",K271=""),"",J271*1000000000*(G271/1000)^3/(12*(1-K271^2)))</x:f>
        <x:v>25194444.44444445</x:v>
      </x:c>
      <x:c r="Q271" s="76" t="n">
        <x:f>IF(OR(I271="",P271=""),"",343.2^2/(2*PI())*SQRT(I271/P271))</x:f>
        <x:v>83.51169510757427</x:v>
      </x:c>
      <x:c r="R271" s="58" t="n">
        <x:v>45</x:v>
      </x:c>
      <x:c r="S271" s="62" t="n">
        <x:v>2</x:v>
      </x:c>
      <x:c r="T271" s="46" t="str">
        <x:v>20 °C / kuru nominal</x:v>
      </x:c>
      <x:c r="U271" s="46" t="str">
        <x:v>ORTA</x:v>
      </x:c>
      <x:c r="V271" s="46" t="str">
        <x:v>https://eurocodes.jrc.ec.europa.eu/</x:v>
      </x:c>
      <x:c r="W271" s="50" t="str">
        <x:v>Ecm EN 1992 bağıntısından; akustik etkin E, çatlak, agrega, nem ve frekansla değişebilir. Donatı hacmi yoğunluğa dahil nominal kabul edilmiştir.</x:v>
      </x:c>
    </x:row>
    <x:row r="272">
      <x:c r="A272" s="46" t="str">
        <x:v>RC-C45_55-220</x:v>
      </x:c>
      <x:c r="B272" s="46" t="str">
        <x:v>Betonarme</x:v>
      </x:c>
      <x:c r="C272" s="46" t="str">
        <x:v>C45/55</x:v>
      </x:c>
      <x:c r="D272" s="46" t="str">
        <x:v>GENERIC / EN 1992</x:v>
      </x:c>
      <x:c r="E272" s="46" t="str">
        <x:v>C45/55</x:v>
      </x:c>
      <x:c r="F272" s="70" t="str">
        <x:v>CODE_BASED_ENGINEERING</x:v>
      </x:c>
      <x:c r="G272" s="54" t="n">
        <x:v>220</x:v>
      </x:c>
      <x:c r="H272" s="54" t="n">
        <x:v>2500</x:v>
      </x:c>
      <x:c r="I272" s="74" t="n">
        <x:f>IF(OR(G272="",H272=""),"",G272/1000*H272)</x:f>
        <x:v>550</x:v>
      </x:c>
      <x:c r="J272" s="75" t="n">
        <x:v>36.28</x:v>
      </x:c>
      <x:c r="K272" s="75" t="n">
        <x:v>0.2</x:v>
      </x:c>
      <x:c r="L272" s="75" t="n">
        <x:v>0.015</x:v>
      </x:c>
      <x:c r="M272" s="75" t="n">
        <x:f>IF(OR(J272="",K272=""),"",J272/(2*(1+K272)))</x:f>
        <x:v>15.116666666666667</x:v>
      </x:c>
      <x:c r="N272" s="76" t="n">
        <x:f>IF(OR(J272="",H272="",K272=""),"",SQRT(J272*1000000000*(1-K272)/(H272*(1+K272)*(1-2*K272))))</x:f>
        <x:v>4015.5254257001593</x:v>
      </x:c>
      <x:c r="O272" s="75" t="n">
        <x:f>IF(OR(H272="",N272=""),"",H272*N272/1000000)</x:f>
        <x:v>10.038813564250399</x:v>
      </x:c>
      <x:c r="P272" s="74" t="n">
        <x:f>IF(OR(J272="",G272="",K272=""),"",J272*1000000000*(G272/1000)^3/(12*(1-K272^2)))</x:f>
        <x:v>33533805.555555556</x:v>
      </x:c>
      <x:c r="Q272" s="76" t="n">
        <x:f>IF(OR(I272="",P272=""),"",343.2^2/(2*PI())*SQRT(I272/P272))</x:f>
        <x:v>75.91972282506752</x:v>
      </x:c>
      <x:c r="R272" s="58" t="n">
        <x:v>45</x:v>
      </x:c>
      <x:c r="S272" s="62" t="n">
        <x:v>2</x:v>
      </x:c>
      <x:c r="T272" s="46" t="str">
        <x:v>20 °C / kuru nominal</x:v>
      </x:c>
      <x:c r="U272" s="46" t="str">
        <x:v>ORTA</x:v>
      </x:c>
      <x:c r="V272" s="46" t="str">
        <x:v>https://eurocodes.jrc.ec.europa.eu/</x:v>
      </x:c>
      <x:c r="W272" s="50" t="str">
        <x:v>Ecm EN 1992 bağıntısından; akustik etkin E, çatlak, agrega, nem ve frekansla değişebilir. Donatı hacmi yoğunluğa dahil nominal kabul edilmiştir.</x:v>
      </x:c>
    </x:row>
    <x:row r="273">
      <x:c r="A273" s="46" t="str">
        <x:v>RC-C45_55-250</x:v>
      </x:c>
      <x:c r="B273" s="46" t="str">
        <x:v>Betonarme</x:v>
      </x:c>
      <x:c r="C273" s="46" t="str">
        <x:v>C45/55</x:v>
      </x:c>
      <x:c r="D273" s="46" t="str">
        <x:v>GENERIC / EN 1992</x:v>
      </x:c>
      <x:c r="E273" s="46" t="str">
        <x:v>C45/55</x:v>
      </x:c>
      <x:c r="F273" s="70" t="str">
        <x:v>CODE_BASED_ENGINEERING</x:v>
      </x:c>
      <x:c r="G273" s="54" t="n">
        <x:v>250</x:v>
      </x:c>
      <x:c r="H273" s="54" t="n">
        <x:v>2500</x:v>
      </x:c>
      <x:c r="I273" s="74" t="n">
        <x:f>IF(OR(G273="",H273=""),"",G273/1000*H273)</x:f>
        <x:v>625</x:v>
      </x:c>
      <x:c r="J273" s="75" t="n">
        <x:v>36.28</x:v>
      </x:c>
      <x:c r="K273" s="75" t="n">
        <x:v>0.2</x:v>
      </x:c>
      <x:c r="L273" s="75" t="n">
        <x:v>0.015</x:v>
      </x:c>
      <x:c r="M273" s="75" t="n">
        <x:f>IF(OR(J273="",K273=""),"",J273/(2*(1+K273)))</x:f>
        <x:v>15.116666666666667</x:v>
      </x:c>
      <x:c r="N273" s="76" t="n">
        <x:f>IF(OR(J273="",H273="",K273=""),"",SQRT(J273*1000000000*(1-K273)/(H273*(1+K273)*(1-2*K273))))</x:f>
        <x:v>4015.5254257001593</x:v>
      </x:c>
      <x:c r="O273" s="75" t="n">
        <x:f>IF(OR(H273="",N273=""),"",H273*N273/1000000)</x:f>
        <x:v>10.038813564250399</x:v>
      </x:c>
      <x:c r="P273" s="74" t="n">
        <x:f>IF(OR(J273="",G273="",K273=""),"",J273*1000000000*(G273/1000)^3/(12*(1-K273^2)))</x:f>
        <x:v>49207899.30555556</x:v>
      </x:c>
      <x:c r="Q273" s="76" t="n">
        <x:f>IF(OR(I273="",P273=""),"",343.2^2/(2*PI())*SQRT(I273/P273))</x:f>
        <x:v>66.80935608605942</x:v>
      </x:c>
      <x:c r="R273" s="58" t="n">
        <x:v>45</x:v>
      </x:c>
      <x:c r="S273" s="62" t="n">
        <x:v>2</x:v>
      </x:c>
      <x:c r="T273" s="46" t="str">
        <x:v>20 °C / kuru nominal</x:v>
      </x:c>
      <x:c r="U273" s="46" t="str">
        <x:v>ORTA</x:v>
      </x:c>
      <x:c r="V273" s="46" t="str">
        <x:v>https://eurocodes.jrc.ec.europa.eu/</x:v>
      </x:c>
      <x:c r="W273" s="50" t="str">
        <x:v>Ecm EN 1992 bağıntısından; akustik etkin E, çatlak, agrega, nem ve frekansla değişebilir. Donatı hacmi yoğunluğa dahil nominal kabul edilmiştir.</x:v>
      </x:c>
    </x:row>
    <x:row r="274">
      <x:c r="A274" s="46" t="str">
        <x:v>RC-C45_55-300</x:v>
      </x:c>
      <x:c r="B274" s="46" t="str">
        <x:v>Betonarme</x:v>
      </x:c>
      <x:c r="C274" s="46" t="str">
        <x:v>C45/55</x:v>
      </x:c>
      <x:c r="D274" s="46" t="str">
        <x:v>GENERIC / EN 1992</x:v>
      </x:c>
      <x:c r="E274" s="46" t="str">
        <x:v>C45/55</x:v>
      </x:c>
      <x:c r="F274" s="70" t="str">
        <x:v>CODE_BASED_ENGINEERING</x:v>
      </x:c>
      <x:c r="G274" s="54" t="n">
        <x:v>300</x:v>
      </x:c>
      <x:c r="H274" s="54" t="n">
        <x:v>2500</x:v>
      </x:c>
      <x:c r="I274" s="74" t="n">
        <x:f>IF(OR(G274="",H274=""),"",G274/1000*H274)</x:f>
        <x:v>750</x:v>
      </x:c>
      <x:c r="J274" s="75" t="n">
        <x:v>36.28</x:v>
      </x:c>
      <x:c r="K274" s="75" t="n">
        <x:v>0.2</x:v>
      </x:c>
      <x:c r="L274" s="75" t="n">
        <x:v>0.015</x:v>
      </x:c>
      <x:c r="M274" s="75" t="n">
        <x:f>IF(OR(J274="",K274=""),"",J274/(2*(1+K274)))</x:f>
        <x:v>15.116666666666667</x:v>
      </x:c>
      <x:c r="N274" s="76" t="n">
        <x:f>IF(OR(J274="",H274="",K274=""),"",SQRT(J274*1000000000*(1-K274)/(H274*(1+K274)*(1-2*K274))))</x:f>
        <x:v>4015.5254257001593</x:v>
      </x:c>
      <x:c r="O274" s="75" t="n">
        <x:f>IF(OR(H274="",N274=""),"",H274*N274/1000000)</x:f>
        <x:v>10.038813564250399</x:v>
      </x:c>
      <x:c r="P274" s="74" t="n">
        <x:f>IF(OR(J274="",G274="",K274=""),"",J274*1000000000*(G274/1000)^3/(12*(1-K274^2)))</x:f>
        <x:v>85031250</x:v>
      </x:c>
      <x:c r="Q274" s="76" t="n">
        <x:f>IF(OR(I274="",P274=""),"",343.2^2/(2*PI())*SQRT(I274/P274))</x:f>
        <x:v>55.67446340504952</x:v>
      </x:c>
      <x:c r="R274" s="58" t="n">
        <x:v>45</x:v>
      </x:c>
      <x:c r="S274" s="62" t="n">
        <x:v>2</x:v>
      </x:c>
      <x:c r="T274" s="46" t="str">
        <x:v>20 °C / kuru nominal</x:v>
      </x:c>
      <x:c r="U274" s="46" t="str">
        <x:v>ORTA</x:v>
      </x:c>
      <x:c r="V274" s="46" t="str">
        <x:v>https://eurocodes.jrc.ec.europa.eu/</x:v>
      </x:c>
      <x:c r="W274" s="50" t="str">
        <x:v>Ecm EN 1992 bağıntısından; akustik etkin E, çatlak, agrega, nem ve frekansla değişebilir. Donatı hacmi yoğunluğa dahil nominal kabul edilmiştir.</x:v>
      </x:c>
    </x:row>
    <x:row r="275">
      <x:c r="A275" s="46" t="str">
        <x:v>RC-C45_55-350</x:v>
      </x:c>
      <x:c r="B275" s="46" t="str">
        <x:v>Betonarme</x:v>
      </x:c>
      <x:c r="C275" s="46" t="str">
        <x:v>C45/55</x:v>
      </x:c>
      <x:c r="D275" s="46" t="str">
        <x:v>GENERIC / EN 1992</x:v>
      </x:c>
      <x:c r="E275" s="46" t="str">
        <x:v>C45/55</x:v>
      </x:c>
      <x:c r="F275" s="70" t="str">
        <x:v>CODE_BASED_ENGINEERING</x:v>
      </x:c>
      <x:c r="G275" s="54" t="n">
        <x:v>350</x:v>
      </x:c>
      <x:c r="H275" s="54" t="n">
        <x:v>2500</x:v>
      </x:c>
      <x:c r="I275" s="74" t="n">
        <x:f>IF(OR(G275="",H275=""),"",G275/1000*H275)</x:f>
        <x:v>875</x:v>
      </x:c>
      <x:c r="J275" s="75" t="n">
        <x:v>36.28</x:v>
      </x:c>
      <x:c r="K275" s="75" t="n">
        <x:v>0.2</x:v>
      </x:c>
      <x:c r="L275" s="75" t="n">
        <x:v>0.015</x:v>
      </x:c>
      <x:c r="M275" s="75" t="n">
        <x:f>IF(OR(J275="",K275=""),"",J275/(2*(1+K275)))</x:f>
        <x:v>15.116666666666667</x:v>
      </x:c>
      <x:c r="N275" s="76" t="n">
        <x:f>IF(OR(J275="",H275="",K275=""),"",SQRT(J275*1000000000*(1-K275)/(H275*(1+K275)*(1-2*K275))))</x:f>
        <x:v>4015.5254257001593</x:v>
      </x:c>
      <x:c r="O275" s="75" t="n">
        <x:f>IF(OR(H275="",N275=""),"",H275*N275/1000000)</x:f>
        <x:v>10.038813564250399</x:v>
      </x:c>
      <x:c r="P275" s="74" t="n">
        <x:f>IF(OR(J275="",G275="",K275=""),"",J275*1000000000*(G275/1000)^3/(12*(1-K275^2)))</x:f>
        <x:v>135026475.69444442</x:v>
      </x:c>
      <x:c r="Q275" s="76" t="n">
        <x:f>IF(OR(I275="",P275=""),"",343.2^2/(2*PI())*SQRT(I275/P275))</x:f>
        <x:v>47.7209686328996</x:v>
      </x:c>
      <x:c r="R275" s="58" t="n">
        <x:v>45</x:v>
      </x:c>
      <x:c r="S275" s="62" t="n">
        <x:v>2</x:v>
      </x:c>
      <x:c r="T275" s="46" t="str">
        <x:v>20 °C / kuru nominal</x:v>
      </x:c>
      <x:c r="U275" s="46" t="str">
        <x:v>ORTA</x:v>
      </x:c>
      <x:c r="V275" s="46" t="str">
        <x:v>https://eurocodes.jrc.ec.europa.eu/</x:v>
      </x:c>
      <x:c r="W275" s="50" t="str">
        <x:v>Ecm EN 1992 bağıntısından; akustik etkin E, çatlak, agrega, nem ve frekansla değişebilir. Donatı hacmi yoğunluğa dahil nominal kabul edilmiştir.</x:v>
      </x:c>
    </x:row>
    <x:row r="276">
      <x:c r="A276" s="46" t="str">
        <x:v>RC-C45_55-400</x:v>
      </x:c>
      <x:c r="B276" s="46" t="str">
        <x:v>Betonarme</x:v>
      </x:c>
      <x:c r="C276" s="46" t="str">
        <x:v>C45/55</x:v>
      </x:c>
      <x:c r="D276" s="46" t="str">
        <x:v>GENERIC / EN 1992</x:v>
      </x:c>
      <x:c r="E276" s="46" t="str">
        <x:v>C45/55</x:v>
      </x:c>
      <x:c r="F276" s="70" t="str">
        <x:v>CODE_BASED_ENGINEERING</x:v>
      </x:c>
      <x:c r="G276" s="54" t="n">
        <x:v>400</x:v>
      </x:c>
      <x:c r="H276" s="54" t="n">
        <x:v>2500</x:v>
      </x:c>
      <x:c r="I276" s="74" t="n">
        <x:f>IF(OR(G276="",H276=""),"",G276/1000*H276)</x:f>
        <x:v>1000</x:v>
      </x:c>
      <x:c r="J276" s="75" t="n">
        <x:v>36.28</x:v>
      </x:c>
      <x:c r="K276" s="75" t="n">
        <x:v>0.2</x:v>
      </x:c>
      <x:c r="L276" s="75" t="n">
        <x:v>0.015</x:v>
      </x:c>
      <x:c r="M276" s="75" t="n">
        <x:f>IF(OR(J276="",K276=""),"",J276/(2*(1+K276)))</x:f>
        <x:v>15.116666666666667</x:v>
      </x:c>
      <x:c r="N276" s="76" t="n">
        <x:f>IF(OR(J276="",H276="",K276=""),"",SQRT(J276*1000000000*(1-K276)/(H276*(1+K276)*(1-2*K276))))</x:f>
        <x:v>4015.5254257001593</x:v>
      </x:c>
      <x:c r="O276" s="75" t="n">
        <x:f>IF(OR(H276="",N276=""),"",H276*N276/1000000)</x:f>
        <x:v>10.038813564250399</x:v>
      </x:c>
      <x:c r="P276" s="74" t="n">
        <x:f>IF(OR(J276="",G276="",K276=""),"",J276*1000000000*(G276/1000)^3/(12*(1-K276^2)))</x:f>
        <x:v>201555555.5555556</x:v>
      </x:c>
      <x:c r="Q276" s="76" t="n">
        <x:f>IF(OR(I276="",P276=""),"",343.2^2/(2*PI())*SQRT(I276/P276))</x:f>
        <x:v>41.755847553787135</x:v>
      </x:c>
      <x:c r="R276" s="58" t="n">
        <x:v>45</x:v>
      </x:c>
      <x:c r="S276" s="62" t="n">
        <x:v>2</x:v>
      </x:c>
      <x:c r="T276" s="46" t="str">
        <x:v>20 °C / kuru nominal</x:v>
      </x:c>
      <x:c r="U276" s="46" t="str">
        <x:v>ORTA</x:v>
      </x:c>
      <x:c r="V276" s="46" t="str">
        <x:v>https://eurocodes.jrc.ec.europa.eu/</x:v>
      </x:c>
      <x:c r="W276" s="50" t="str">
        <x:v>Ecm EN 1992 bağıntısından; akustik etkin E, çatlak, agrega, nem ve frekansla değişebilir. Donatı hacmi yoğunluğa dahil nominal kabul edilmiştir.</x:v>
      </x:c>
    </x:row>
    <x:row r="277">
      <x:c r="A277" s="46" t="str">
        <x:v>RC-C50_60-80</x:v>
      </x:c>
      <x:c r="B277" s="46" t="str">
        <x:v>Betonarme</x:v>
      </x:c>
      <x:c r="C277" s="46" t="str">
        <x:v>C50/60</x:v>
      </x:c>
      <x:c r="D277" s="46" t="str">
        <x:v>GENERIC / EN 1992</x:v>
      </x:c>
      <x:c r="E277" s="46" t="str">
        <x:v>C50/60</x:v>
      </x:c>
      <x:c r="F277" s="70" t="str">
        <x:v>CODE_BASED_ENGINEERING</x:v>
      </x:c>
      <x:c r="G277" s="54" t="n">
        <x:v>80</x:v>
      </x:c>
      <x:c r="H277" s="54" t="n">
        <x:v>2500</x:v>
      </x:c>
      <x:c r="I277" s="74" t="n">
        <x:f>IF(OR(G277="",H277=""),"",G277/1000*H277)</x:f>
        <x:v>200</x:v>
      </x:c>
      <x:c r="J277" s="75" t="n">
        <x:v>37.28</x:v>
      </x:c>
      <x:c r="K277" s="75" t="n">
        <x:v>0.2</x:v>
      </x:c>
      <x:c r="L277" s="75" t="n">
        <x:v>0.015</x:v>
      </x:c>
      <x:c r="M277" s="75" t="n">
        <x:f>IF(OR(J277="",K277=""),"",J277/(2*(1+K277)))</x:f>
        <x:v>15.533333333333335</x:v>
      </x:c>
      <x:c r="N277" s="76" t="n">
        <x:f>IF(OR(J277="",H277="",K277=""),"",SQRT(J277*1000000000*(1-K277)/(H277*(1+K277)*(1-2*K277))))</x:f>
        <x:v>4070.490005992999</x:v>
      </x:c>
      <x:c r="O277" s="75" t="n">
        <x:f>IF(OR(H277="",N277=""),"",H277*N277/1000000)</x:f>
        <x:v>10.176225014982498</x:v>
      </x:c>
      <x:c r="P277" s="74" t="n">
        <x:f>IF(OR(J277="",G277="",K277=""),"",J277*1000000000*(G277/1000)^3/(12*(1-K277^2)))</x:f>
        <x:v>1656888.8888888892</x:v>
      </x:c>
      <x:c r="Q277" s="76" t="n">
        <x:f>IF(OR(I277="",P277=""),"",343.2^2/(2*PI())*SQRT(I277/P277))</x:f>
        <x:v>205.96005306121418</x:v>
      </x:c>
      <x:c r="R277" s="58" t="n">
        <x:v>50</x:v>
      </x:c>
      <x:c r="S277" s="62" t="n">
        <x:v>2</x:v>
      </x:c>
      <x:c r="T277" s="46" t="str">
        <x:v>20 °C / kuru nominal</x:v>
      </x:c>
      <x:c r="U277" s="46" t="str">
        <x:v>ORTA</x:v>
      </x:c>
      <x:c r="V277" s="46" t="str">
        <x:v>https://eurocodes.jrc.ec.europa.eu/</x:v>
      </x:c>
      <x:c r="W277" s="50" t="str">
        <x:v>Ecm EN 1992 bağıntısından; akustik etkin E, çatlak, agrega, nem ve frekansla değişebilir. Donatı hacmi yoğunluğa dahil nominal kabul edilmiştir.</x:v>
      </x:c>
    </x:row>
    <x:row r="278">
      <x:c r="A278" s="46" t="str">
        <x:v>RC-C50_60-100</x:v>
      </x:c>
      <x:c r="B278" s="46" t="str">
        <x:v>Betonarme</x:v>
      </x:c>
      <x:c r="C278" s="46" t="str">
        <x:v>C50/60</x:v>
      </x:c>
      <x:c r="D278" s="46" t="str">
        <x:v>GENERIC / EN 1992</x:v>
      </x:c>
      <x:c r="E278" s="46" t="str">
        <x:v>C50/60</x:v>
      </x:c>
      <x:c r="F278" s="70" t="str">
        <x:v>CODE_BASED_ENGINEERING</x:v>
      </x:c>
      <x:c r="G278" s="54" t="n">
        <x:v>100</x:v>
      </x:c>
      <x:c r="H278" s="54" t="n">
        <x:v>2500</x:v>
      </x:c>
      <x:c r="I278" s="74" t="n">
        <x:f>IF(OR(G278="",H278=""),"",G278/1000*H278)</x:f>
        <x:v>250</x:v>
      </x:c>
      <x:c r="J278" s="75" t="n">
        <x:v>37.28</x:v>
      </x:c>
      <x:c r="K278" s="75" t="n">
        <x:v>0.2</x:v>
      </x:c>
      <x:c r="L278" s="75" t="n">
        <x:v>0.015</x:v>
      </x:c>
      <x:c r="M278" s="75" t="n">
        <x:f>IF(OR(J278="",K278=""),"",J278/(2*(1+K278)))</x:f>
        <x:v>15.533333333333335</x:v>
      </x:c>
      <x:c r="N278" s="76" t="n">
        <x:f>IF(OR(J278="",H278="",K278=""),"",SQRT(J278*1000000000*(1-K278)/(H278*(1+K278)*(1-2*K278))))</x:f>
        <x:v>4070.490005992999</x:v>
      </x:c>
      <x:c r="O278" s="75" t="n">
        <x:f>IF(OR(H278="",N278=""),"",H278*N278/1000000)</x:f>
        <x:v>10.176225014982498</x:v>
      </x:c>
      <x:c r="P278" s="74" t="n">
        <x:f>IF(OR(J278="",G278="",K278=""),"",J278*1000000000*(G278/1000)^3/(12*(1-K278^2)))</x:f>
        <x:v>3236111.111111112</x:v>
      </x:c>
      <x:c r="Q278" s="76" t="n">
        <x:f>IF(OR(I278="",P278=""),"",343.2^2/(2*PI())*SQRT(I278/P278))</x:f>
        <x:v>164.76804244897133</x:v>
      </x:c>
      <x:c r="R278" s="58" t="n">
        <x:v>50</x:v>
      </x:c>
      <x:c r="S278" s="62" t="n">
        <x:v>2</x:v>
      </x:c>
      <x:c r="T278" s="46" t="str">
        <x:v>20 °C / kuru nominal</x:v>
      </x:c>
      <x:c r="U278" s="46" t="str">
        <x:v>ORTA</x:v>
      </x:c>
      <x:c r="V278" s="46" t="str">
        <x:v>https://eurocodes.jrc.ec.europa.eu/</x:v>
      </x:c>
      <x:c r="W278" s="50" t="str">
        <x:v>Ecm EN 1992 bağıntısından; akustik etkin E, çatlak, agrega, nem ve frekansla değişebilir. Donatı hacmi yoğunluğa dahil nominal kabul edilmiştir.</x:v>
      </x:c>
    </x:row>
    <x:row r="279">
      <x:c r="A279" s="46" t="str">
        <x:v>RC-C50_60-120</x:v>
      </x:c>
      <x:c r="B279" s="46" t="str">
        <x:v>Betonarme</x:v>
      </x:c>
      <x:c r="C279" s="46" t="str">
        <x:v>C50/60</x:v>
      </x:c>
      <x:c r="D279" s="46" t="str">
        <x:v>GENERIC / EN 1992</x:v>
      </x:c>
      <x:c r="E279" s="46" t="str">
        <x:v>C50/60</x:v>
      </x:c>
      <x:c r="F279" s="70" t="str">
        <x:v>CODE_BASED_ENGINEERING</x:v>
      </x:c>
      <x:c r="G279" s="54" t="n">
        <x:v>120</x:v>
      </x:c>
      <x:c r="H279" s="54" t="n">
        <x:v>2500</x:v>
      </x:c>
      <x:c r="I279" s="74" t="n">
        <x:f>IF(OR(G279="",H279=""),"",G279/1000*H279)</x:f>
        <x:v>300</x:v>
      </x:c>
      <x:c r="J279" s="75" t="n">
        <x:v>37.28</x:v>
      </x:c>
      <x:c r="K279" s="75" t="n">
        <x:v>0.2</x:v>
      </x:c>
      <x:c r="L279" s="75" t="n">
        <x:v>0.015</x:v>
      </x:c>
      <x:c r="M279" s="75" t="n">
        <x:f>IF(OR(J279="",K279=""),"",J279/(2*(1+K279)))</x:f>
        <x:v>15.533333333333335</x:v>
      </x:c>
      <x:c r="N279" s="76" t="n">
        <x:f>IF(OR(J279="",H279="",K279=""),"",SQRT(J279*1000000000*(1-K279)/(H279*(1+K279)*(1-2*K279))))</x:f>
        <x:v>4070.490005992999</x:v>
      </x:c>
      <x:c r="O279" s="75" t="n">
        <x:f>IF(OR(H279="",N279=""),"",H279*N279/1000000)</x:f>
        <x:v>10.176225014982498</x:v>
      </x:c>
      <x:c r="P279" s="74" t="n">
        <x:f>IF(OR(J279="",G279="",K279=""),"",J279*1000000000*(G279/1000)^3/(12*(1-K279^2)))</x:f>
        <x:v>5592000</x:v>
      </x:c>
      <x:c r="Q279" s="76" t="n">
        <x:f>IF(OR(I279="",P279=""),"",343.2^2/(2*PI())*SQRT(I279/P279))</x:f>
        <x:v>137.30670204080948</x:v>
      </x:c>
      <x:c r="R279" s="58" t="n">
        <x:v>50</x:v>
      </x:c>
      <x:c r="S279" s="62" t="n">
        <x:v>2</x:v>
      </x:c>
      <x:c r="T279" s="46" t="str">
        <x:v>20 °C / kuru nominal</x:v>
      </x:c>
      <x:c r="U279" s="46" t="str">
        <x:v>ORTA</x:v>
      </x:c>
      <x:c r="V279" s="46" t="str">
        <x:v>https://eurocodes.jrc.ec.europa.eu/</x:v>
      </x:c>
      <x:c r="W279" s="50" t="str">
        <x:v>Ecm EN 1992 bağıntısından; akustik etkin E, çatlak, agrega, nem ve frekansla değişebilir. Donatı hacmi yoğunluğa dahil nominal kabul edilmiştir.</x:v>
      </x:c>
    </x:row>
    <x:row r="280">
      <x:c r="A280" s="46" t="str">
        <x:v>RC-C50_60-150</x:v>
      </x:c>
      <x:c r="B280" s="46" t="str">
        <x:v>Betonarme</x:v>
      </x:c>
      <x:c r="C280" s="46" t="str">
        <x:v>C50/60</x:v>
      </x:c>
      <x:c r="D280" s="46" t="str">
        <x:v>GENERIC / EN 1992</x:v>
      </x:c>
      <x:c r="E280" s="46" t="str">
        <x:v>C50/60</x:v>
      </x:c>
      <x:c r="F280" s="70" t="str">
        <x:v>CODE_BASED_ENGINEERING</x:v>
      </x:c>
      <x:c r="G280" s="54" t="n">
        <x:v>150</x:v>
      </x:c>
      <x:c r="H280" s="54" t="n">
        <x:v>2500</x:v>
      </x:c>
      <x:c r="I280" s="74" t="n">
        <x:f>IF(OR(G280="",H280=""),"",G280/1000*H280)</x:f>
        <x:v>375</x:v>
      </x:c>
      <x:c r="J280" s="75" t="n">
        <x:v>37.28</x:v>
      </x:c>
      <x:c r="K280" s="75" t="n">
        <x:v>0.2</x:v>
      </x:c>
      <x:c r="L280" s="75" t="n">
        <x:v>0.015</x:v>
      </x:c>
      <x:c r="M280" s="75" t="n">
        <x:f>IF(OR(J280="",K280=""),"",J280/(2*(1+K280)))</x:f>
        <x:v>15.533333333333335</x:v>
      </x:c>
      <x:c r="N280" s="76" t="n">
        <x:f>IF(OR(J280="",H280="",K280=""),"",SQRT(J280*1000000000*(1-K280)/(H280*(1+K280)*(1-2*K280))))</x:f>
        <x:v>4070.490005992999</x:v>
      </x:c>
      <x:c r="O280" s="75" t="n">
        <x:f>IF(OR(H280="",N280=""),"",H280*N280/1000000)</x:f>
        <x:v>10.176225014982498</x:v>
      </x:c>
      <x:c r="P280" s="74" t="n">
        <x:f>IF(OR(J280="",G280="",K280=""),"",J280*1000000000*(G280/1000)^3/(12*(1-K280^2)))</x:f>
        <x:v>10921875</x:v>
      </x:c>
      <x:c r="Q280" s="76" t="n">
        <x:f>IF(OR(I280="",P280=""),"",343.2^2/(2*PI())*SQRT(I280/P280))</x:f>
        <x:v>109.84536163264758</x:v>
      </x:c>
      <x:c r="R280" s="58" t="n">
        <x:v>50</x:v>
      </x:c>
      <x:c r="S280" s="62" t="n">
        <x:v>2</x:v>
      </x:c>
      <x:c r="T280" s="46" t="str">
        <x:v>20 °C / kuru nominal</x:v>
      </x:c>
      <x:c r="U280" s="46" t="str">
        <x:v>ORTA</x:v>
      </x:c>
      <x:c r="V280" s="46" t="str">
        <x:v>https://eurocodes.jrc.ec.europa.eu/</x:v>
      </x:c>
      <x:c r="W280" s="50" t="str">
        <x:v>Ecm EN 1992 bağıntısından; akustik etkin E, çatlak, agrega, nem ve frekansla değişebilir. Donatı hacmi yoğunluğa dahil nominal kabul edilmiştir.</x:v>
      </x:c>
    </x:row>
    <x:row r="281">
      <x:c r="A281" s="46" t="str">
        <x:v>RC-C50_60-180</x:v>
      </x:c>
      <x:c r="B281" s="46" t="str">
        <x:v>Betonarme</x:v>
      </x:c>
      <x:c r="C281" s="46" t="str">
        <x:v>C50/60</x:v>
      </x:c>
      <x:c r="D281" s="46" t="str">
        <x:v>GENERIC / EN 1992</x:v>
      </x:c>
      <x:c r="E281" s="46" t="str">
        <x:v>C50/60</x:v>
      </x:c>
      <x:c r="F281" s="70" t="str">
        <x:v>CODE_BASED_ENGINEERING</x:v>
      </x:c>
      <x:c r="G281" s="54" t="n">
        <x:v>180</x:v>
      </x:c>
      <x:c r="H281" s="54" t="n">
        <x:v>2500</x:v>
      </x:c>
      <x:c r="I281" s="74" t="n">
        <x:f>IF(OR(G281="",H281=""),"",G281/1000*H281)</x:f>
        <x:v>450</x:v>
      </x:c>
      <x:c r="J281" s="75" t="n">
        <x:v>37.28</x:v>
      </x:c>
      <x:c r="K281" s="75" t="n">
        <x:v>0.2</x:v>
      </x:c>
      <x:c r="L281" s="75" t="n">
        <x:v>0.015</x:v>
      </x:c>
      <x:c r="M281" s="75" t="n">
        <x:f>IF(OR(J281="",K281=""),"",J281/(2*(1+K281)))</x:f>
        <x:v>15.533333333333335</x:v>
      </x:c>
      <x:c r="N281" s="76" t="n">
        <x:f>IF(OR(J281="",H281="",K281=""),"",SQRT(J281*1000000000*(1-K281)/(H281*(1+K281)*(1-2*K281))))</x:f>
        <x:v>4070.490005992999</x:v>
      </x:c>
      <x:c r="O281" s="75" t="n">
        <x:f>IF(OR(H281="",N281=""),"",H281*N281/1000000)</x:f>
        <x:v>10.176225014982498</x:v>
      </x:c>
      <x:c r="P281" s="74" t="n">
        <x:f>IF(OR(J281="",G281="",K281=""),"",J281*1000000000*(G281/1000)^3/(12*(1-K281^2)))</x:f>
        <x:v>18872999.999999996</x:v>
      </x:c>
      <x:c r="Q281" s="76" t="n">
        <x:f>IF(OR(I281="",P281=""),"",343.2^2/(2*PI())*SQRT(I281/P281))</x:f>
        <x:v>91.53780136053965</x:v>
      </x:c>
      <x:c r="R281" s="58" t="n">
        <x:v>50</x:v>
      </x:c>
      <x:c r="S281" s="62" t="n">
        <x:v>2</x:v>
      </x:c>
      <x:c r="T281" s="46" t="str">
        <x:v>20 °C / kuru nominal</x:v>
      </x:c>
      <x:c r="U281" s="46" t="str">
        <x:v>ORTA</x:v>
      </x:c>
      <x:c r="V281" s="46" t="str">
        <x:v>https://eurocodes.jrc.ec.europa.eu/</x:v>
      </x:c>
      <x:c r="W281" s="50" t="str">
        <x:v>Ecm EN 1992 bağıntısından; akustik etkin E, çatlak, agrega, nem ve frekansla değişebilir. Donatı hacmi yoğunluğa dahil nominal kabul edilmiştir.</x:v>
      </x:c>
    </x:row>
    <x:row r="282">
      <x:c r="A282" s="46" t="str">
        <x:v>RC-C50_60-200</x:v>
      </x:c>
      <x:c r="B282" s="46" t="str">
        <x:v>Betonarme</x:v>
      </x:c>
      <x:c r="C282" s="46" t="str">
        <x:v>C50/60</x:v>
      </x:c>
      <x:c r="D282" s="46" t="str">
        <x:v>GENERIC / EN 1992</x:v>
      </x:c>
      <x:c r="E282" s="46" t="str">
        <x:v>C50/60</x:v>
      </x:c>
      <x:c r="F282" s="70" t="str">
        <x:v>CODE_BASED_ENGINEERING</x:v>
      </x:c>
      <x:c r="G282" s="54" t="n">
        <x:v>200</x:v>
      </x:c>
      <x:c r="H282" s="54" t="n">
        <x:v>2500</x:v>
      </x:c>
      <x:c r="I282" s="74" t="n">
        <x:f>IF(OR(G282="",H282=""),"",G282/1000*H282)</x:f>
        <x:v>500</x:v>
      </x:c>
      <x:c r="J282" s="75" t="n">
        <x:v>37.28</x:v>
      </x:c>
      <x:c r="K282" s="75" t="n">
        <x:v>0.2</x:v>
      </x:c>
      <x:c r="L282" s="75" t="n">
        <x:v>0.015</x:v>
      </x:c>
      <x:c r="M282" s="75" t="n">
        <x:f>IF(OR(J282="",K282=""),"",J282/(2*(1+K282)))</x:f>
        <x:v>15.533333333333335</x:v>
      </x:c>
      <x:c r="N282" s="76" t="n">
        <x:f>IF(OR(J282="",H282="",K282=""),"",SQRT(J282*1000000000*(1-K282)/(H282*(1+K282)*(1-2*K282))))</x:f>
        <x:v>4070.490005992999</x:v>
      </x:c>
      <x:c r="O282" s="75" t="n">
        <x:f>IF(OR(H282="",N282=""),"",H282*N282/1000000)</x:f>
        <x:v>10.176225014982498</x:v>
      </x:c>
      <x:c r="P282" s="74" t="n">
        <x:f>IF(OR(J282="",G282="",K282=""),"",J282*1000000000*(G282/1000)^3/(12*(1-K282^2)))</x:f>
        <x:v>25888888.888888896</x:v>
      </x:c>
      <x:c r="Q282" s="76" t="n">
        <x:f>IF(OR(I282="",P282=""),"",343.2^2/(2*PI())*SQRT(I282/P282))</x:f>
        <x:v>82.38402122448566</x:v>
      </x:c>
      <x:c r="R282" s="58" t="n">
        <x:v>50</x:v>
      </x:c>
      <x:c r="S282" s="62" t="n">
        <x:v>2</x:v>
      </x:c>
      <x:c r="T282" s="46" t="str">
        <x:v>20 °C / kuru nominal</x:v>
      </x:c>
      <x:c r="U282" s="46" t="str">
        <x:v>ORTA</x:v>
      </x:c>
      <x:c r="V282" s="46" t="str">
        <x:v>https://eurocodes.jrc.ec.europa.eu/</x:v>
      </x:c>
      <x:c r="W282" s="50" t="str">
        <x:v>Ecm EN 1992 bağıntısından; akustik etkin E, çatlak, agrega, nem ve frekansla değişebilir. Donatı hacmi yoğunluğa dahil nominal kabul edilmiştir.</x:v>
      </x:c>
    </x:row>
    <x:row r="283">
      <x:c r="A283" s="46" t="str">
        <x:v>RC-C50_60-220</x:v>
      </x:c>
      <x:c r="B283" s="46" t="str">
        <x:v>Betonarme</x:v>
      </x:c>
      <x:c r="C283" s="46" t="str">
        <x:v>C50/60</x:v>
      </x:c>
      <x:c r="D283" s="46" t="str">
        <x:v>GENERIC / EN 1992</x:v>
      </x:c>
      <x:c r="E283" s="46" t="str">
        <x:v>C50/60</x:v>
      </x:c>
      <x:c r="F283" s="70" t="str">
        <x:v>CODE_BASED_ENGINEERING</x:v>
      </x:c>
      <x:c r="G283" s="54" t="n">
        <x:v>220</x:v>
      </x:c>
      <x:c r="H283" s="54" t="n">
        <x:v>2500</x:v>
      </x:c>
      <x:c r="I283" s="74" t="n">
        <x:f>IF(OR(G283="",H283=""),"",G283/1000*H283)</x:f>
        <x:v>550</x:v>
      </x:c>
      <x:c r="J283" s="75" t="n">
        <x:v>37.28</x:v>
      </x:c>
      <x:c r="K283" s="75" t="n">
        <x:v>0.2</x:v>
      </x:c>
      <x:c r="L283" s="75" t="n">
        <x:v>0.015</x:v>
      </x:c>
      <x:c r="M283" s="75" t="n">
        <x:f>IF(OR(J283="",K283=""),"",J283/(2*(1+K283)))</x:f>
        <x:v>15.533333333333335</x:v>
      </x:c>
      <x:c r="N283" s="76" t="n">
        <x:f>IF(OR(J283="",H283="",K283=""),"",SQRT(J283*1000000000*(1-K283)/(H283*(1+K283)*(1-2*K283))))</x:f>
        <x:v>4070.490005992999</x:v>
      </x:c>
      <x:c r="O283" s="75" t="n">
        <x:f>IF(OR(H283="",N283=""),"",H283*N283/1000000)</x:f>
        <x:v>10.176225014982498</x:v>
      </x:c>
      <x:c r="P283" s="74" t="n">
        <x:f>IF(OR(J283="",G283="",K283=""),"",J283*1000000000*(G283/1000)^3/(12*(1-K283^2)))</x:f>
        <x:v>34458111.11111111</x:v>
      </x:c>
      <x:c r="Q283" s="76" t="n">
        <x:f>IF(OR(I283="",P283=""),"",343.2^2/(2*PI())*SQRT(I283/P283))</x:f>
        <x:v>74.89456474953245</x:v>
      </x:c>
      <x:c r="R283" s="58" t="n">
        <x:v>50</x:v>
      </x:c>
      <x:c r="S283" s="62" t="n">
        <x:v>2</x:v>
      </x:c>
      <x:c r="T283" s="46" t="str">
        <x:v>20 °C / kuru nominal</x:v>
      </x:c>
      <x:c r="U283" s="46" t="str">
        <x:v>ORTA</x:v>
      </x:c>
      <x:c r="V283" s="46" t="str">
        <x:v>https://eurocodes.jrc.ec.europa.eu/</x:v>
      </x:c>
      <x:c r="W283" s="50" t="str">
        <x:v>Ecm EN 1992 bağıntısından; akustik etkin E, çatlak, agrega, nem ve frekansla değişebilir. Donatı hacmi yoğunluğa dahil nominal kabul edilmiştir.</x:v>
      </x:c>
    </x:row>
    <x:row r="284">
      <x:c r="A284" s="46" t="str">
        <x:v>RC-C50_60-250</x:v>
      </x:c>
      <x:c r="B284" s="46" t="str">
        <x:v>Betonarme</x:v>
      </x:c>
      <x:c r="C284" s="46" t="str">
        <x:v>C50/60</x:v>
      </x:c>
      <x:c r="D284" s="46" t="str">
        <x:v>GENERIC / EN 1992</x:v>
      </x:c>
      <x:c r="E284" s="46" t="str">
        <x:v>C50/60</x:v>
      </x:c>
      <x:c r="F284" s="70" t="str">
        <x:v>CODE_BASED_ENGINEERING</x:v>
      </x:c>
      <x:c r="G284" s="54" t="n">
        <x:v>250</x:v>
      </x:c>
      <x:c r="H284" s="54" t="n">
        <x:v>2500</x:v>
      </x:c>
      <x:c r="I284" s="74" t="n">
        <x:f>IF(OR(G284="",H284=""),"",G284/1000*H284)</x:f>
        <x:v>625</x:v>
      </x:c>
      <x:c r="J284" s="75" t="n">
        <x:v>37.28</x:v>
      </x:c>
      <x:c r="K284" s="75" t="n">
        <x:v>0.2</x:v>
      </x:c>
      <x:c r="L284" s="75" t="n">
        <x:v>0.015</x:v>
      </x:c>
      <x:c r="M284" s="75" t="n">
        <x:f>IF(OR(J284="",K284=""),"",J284/(2*(1+K284)))</x:f>
        <x:v>15.533333333333335</x:v>
      </x:c>
      <x:c r="N284" s="76" t="n">
        <x:f>IF(OR(J284="",H284="",K284=""),"",SQRT(J284*1000000000*(1-K284)/(H284*(1+K284)*(1-2*K284))))</x:f>
        <x:v>4070.490005992999</x:v>
      </x:c>
      <x:c r="O284" s="75" t="n">
        <x:f>IF(OR(H284="",N284=""),"",H284*N284/1000000)</x:f>
        <x:v>10.176225014982498</x:v>
      </x:c>
      <x:c r="P284" s="74" t="n">
        <x:f>IF(OR(J284="",G284="",K284=""),"",J284*1000000000*(G284/1000)^3/(12*(1-K284^2)))</x:f>
        <x:v>50564236.11111111</x:v>
      </x:c>
      <x:c r="Q284" s="76" t="n">
        <x:f>IF(OR(I284="",P284=""),"",343.2^2/(2*PI())*SQRT(I284/P284))</x:f>
        <x:v>65.90721697958855</x:v>
      </x:c>
      <x:c r="R284" s="58" t="n">
        <x:v>50</x:v>
      </x:c>
      <x:c r="S284" s="62" t="n">
        <x:v>2</x:v>
      </x:c>
      <x:c r="T284" s="46" t="str">
        <x:v>20 °C / kuru nominal</x:v>
      </x:c>
      <x:c r="U284" s="46" t="str">
        <x:v>ORTA</x:v>
      </x:c>
      <x:c r="V284" s="46" t="str">
        <x:v>https://eurocodes.jrc.ec.europa.eu/</x:v>
      </x:c>
      <x:c r="W284" s="50" t="str">
        <x:v>Ecm EN 1992 bağıntısından; akustik etkin E, çatlak, agrega, nem ve frekansla değişebilir. Donatı hacmi yoğunluğa dahil nominal kabul edilmiştir.</x:v>
      </x:c>
    </x:row>
    <x:row r="285">
      <x:c r="A285" s="46" t="str">
        <x:v>RC-C50_60-300</x:v>
      </x:c>
      <x:c r="B285" s="46" t="str">
        <x:v>Betonarme</x:v>
      </x:c>
      <x:c r="C285" s="46" t="str">
        <x:v>C50/60</x:v>
      </x:c>
      <x:c r="D285" s="46" t="str">
        <x:v>GENERIC / EN 1992</x:v>
      </x:c>
      <x:c r="E285" s="46" t="str">
        <x:v>C50/60</x:v>
      </x:c>
      <x:c r="F285" s="70" t="str">
        <x:v>CODE_BASED_ENGINEERING</x:v>
      </x:c>
      <x:c r="G285" s="54" t="n">
        <x:v>300</x:v>
      </x:c>
      <x:c r="H285" s="54" t="n">
        <x:v>2500</x:v>
      </x:c>
      <x:c r="I285" s="74" t="n">
        <x:f>IF(OR(G285="",H285=""),"",G285/1000*H285)</x:f>
        <x:v>750</x:v>
      </x:c>
      <x:c r="J285" s="75" t="n">
        <x:v>37.28</x:v>
      </x:c>
      <x:c r="K285" s="75" t="n">
        <x:v>0.2</x:v>
      </x:c>
      <x:c r="L285" s="75" t="n">
        <x:v>0.015</x:v>
      </x:c>
      <x:c r="M285" s="75" t="n">
        <x:f>IF(OR(J285="",K285=""),"",J285/(2*(1+K285)))</x:f>
        <x:v>15.533333333333335</x:v>
      </x:c>
      <x:c r="N285" s="76" t="n">
        <x:f>IF(OR(J285="",H285="",K285=""),"",SQRT(J285*1000000000*(1-K285)/(H285*(1+K285)*(1-2*K285))))</x:f>
        <x:v>4070.490005992999</x:v>
      </x:c>
      <x:c r="O285" s="75" t="n">
        <x:f>IF(OR(H285="",N285=""),"",H285*N285/1000000)</x:f>
        <x:v>10.176225014982498</x:v>
      </x:c>
      <x:c r="P285" s="74" t="n">
        <x:f>IF(OR(J285="",G285="",K285=""),"",J285*1000000000*(G285/1000)^3/(12*(1-K285^2)))</x:f>
        <x:v>87375000</x:v>
      </x:c>
      <x:c r="Q285" s="76" t="n">
        <x:f>IF(OR(I285="",P285=""),"",343.2^2/(2*PI())*SQRT(I285/P285))</x:f>
        <x:v>54.92268081632379</x:v>
      </x:c>
      <x:c r="R285" s="58" t="n">
        <x:v>50</x:v>
      </x:c>
      <x:c r="S285" s="62" t="n">
        <x:v>2</x:v>
      </x:c>
      <x:c r="T285" s="46" t="str">
        <x:v>20 °C / kuru nominal</x:v>
      </x:c>
      <x:c r="U285" s="46" t="str">
        <x:v>ORTA</x:v>
      </x:c>
      <x:c r="V285" s="46" t="str">
        <x:v>https://eurocodes.jrc.ec.europa.eu/</x:v>
      </x:c>
      <x:c r="W285" s="50" t="str">
        <x:v>Ecm EN 1992 bağıntısından; akustik etkin E, çatlak, agrega, nem ve frekansla değişebilir. Donatı hacmi yoğunluğa dahil nominal kabul edilmiştir.</x:v>
      </x:c>
    </x:row>
    <x:row r="286">
      <x:c r="A286" s="46" t="str">
        <x:v>RC-C50_60-350</x:v>
      </x:c>
      <x:c r="B286" s="46" t="str">
        <x:v>Betonarme</x:v>
      </x:c>
      <x:c r="C286" s="46" t="str">
        <x:v>C50/60</x:v>
      </x:c>
      <x:c r="D286" s="46" t="str">
        <x:v>GENERIC / EN 1992</x:v>
      </x:c>
      <x:c r="E286" s="46" t="str">
        <x:v>C50/60</x:v>
      </x:c>
      <x:c r="F286" s="70" t="str">
        <x:v>CODE_BASED_ENGINEERING</x:v>
      </x:c>
      <x:c r="G286" s="54" t="n">
        <x:v>350</x:v>
      </x:c>
      <x:c r="H286" s="54" t="n">
        <x:v>2500</x:v>
      </x:c>
      <x:c r="I286" s="74" t="n">
        <x:f>IF(OR(G286="",H286=""),"",G286/1000*H286)</x:f>
        <x:v>875</x:v>
      </x:c>
      <x:c r="J286" s="75" t="n">
        <x:v>37.28</x:v>
      </x:c>
      <x:c r="K286" s="75" t="n">
        <x:v>0.2</x:v>
      </x:c>
      <x:c r="L286" s="75" t="n">
        <x:v>0.015</x:v>
      </x:c>
      <x:c r="M286" s="75" t="n">
        <x:f>IF(OR(J286="",K286=""),"",J286/(2*(1+K286)))</x:f>
        <x:v>15.533333333333335</x:v>
      </x:c>
      <x:c r="N286" s="76" t="n">
        <x:f>IF(OR(J286="",H286="",K286=""),"",SQRT(J286*1000000000*(1-K286)/(H286*(1+K286)*(1-2*K286))))</x:f>
        <x:v>4070.490005992999</x:v>
      </x:c>
      <x:c r="O286" s="75" t="n">
        <x:f>IF(OR(H286="",N286=""),"",H286*N286/1000000)</x:f>
        <x:v>10.176225014982498</x:v>
      </x:c>
      <x:c r="P286" s="74" t="n">
        <x:f>IF(OR(J286="",G286="",K286=""),"",J286*1000000000*(G286/1000)^3/(12*(1-K286^2)))</x:f>
        <x:v>138748263.88888887</x:v>
      </x:c>
      <x:c r="Q286" s="76" t="n">
        <x:f>IF(OR(I286="",P286=""),"",343.2^2/(2*PI())*SQRT(I286/P286))</x:f>
        <x:v>47.07658355684896</x:v>
      </x:c>
      <x:c r="R286" s="58" t="n">
        <x:v>50</x:v>
      </x:c>
      <x:c r="S286" s="62" t="n">
        <x:v>2</x:v>
      </x:c>
      <x:c r="T286" s="46" t="str">
        <x:v>20 °C / kuru nominal</x:v>
      </x:c>
      <x:c r="U286" s="46" t="str">
        <x:v>ORTA</x:v>
      </x:c>
      <x:c r="V286" s="46" t="str">
        <x:v>https://eurocodes.jrc.ec.europa.eu/</x:v>
      </x:c>
      <x:c r="W286" s="50" t="str">
        <x:v>Ecm EN 1992 bağıntısından; akustik etkin E, çatlak, agrega, nem ve frekansla değişebilir. Donatı hacmi yoğunluğa dahil nominal kabul edilmiştir.</x:v>
      </x:c>
    </x:row>
    <x:row r="287">
      <x:c r="A287" s="46" t="str">
        <x:v>RC-C50_60-400</x:v>
      </x:c>
      <x:c r="B287" s="46" t="str">
        <x:v>Betonarme</x:v>
      </x:c>
      <x:c r="C287" s="46" t="str">
        <x:v>C50/60</x:v>
      </x:c>
      <x:c r="D287" s="46" t="str">
        <x:v>GENERIC / EN 1992</x:v>
      </x:c>
      <x:c r="E287" s="46" t="str">
        <x:v>C50/60</x:v>
      </x:c>
      <x:c r="F287" s="70" t="str">
        <x:v>CODE_BASED_ENGINEERING</x:v>
      </x:c>
      <x:c r="G287" s="54" t="n">
        <x:v>400</x:v>
      </x:c>
      <x:c r="H287" s="54" t="n">
        <x:v>2500</x:v>
      </x:c>
      <x:c r="I287" s="74" t="n">
        <x:f>IF(OR(G287="",H287=""),"",G287/1000*H287)</x:f>
        <x:v>1000</x:v>
      </x:c>
      <x:c r="J287" s="75" t="n">
        <x:v>37.28</x:v>
      </x:c>
      <x:c r="K287" s="75" t="n">
        <x:v>0.2</x:v>
      </x:c>
      <x:c r="L287" s="75" t="n">
        <x:v>0.015</x:v>
      </x:c>
      <x:c r="M287" s="75" t="n">
        <x:f>IF(OR(J287="",K287=""),"",J287/(2*(1+K287)))</x:f>
        <x:v>15.533333333333335</x:v>
      </x:c>
      <x:c r="N287" s="76" t="n">
        <x:f>IF(OR(J287="",H287="",K287=""),"",SQRT(J287*1000000000*(1-K287)/(H287*(1+K287)*(1-2*K287))))</x:f>
        <x:v>4070.490005992999</x:v>
      </x:c>
      <x:c r="O287" s="75" t="n">
        <x:f>IF(OR(H287="",N287=""),"",H287*N287/1000000)</x:f>
        <x:v>10.176225014982498</x:v>
      </x:c>
      <x:c r="P287" s="74" t="n">
        <x:f>IF(OR(J287="",G287="",K287=""),"",J287*1000000000*(G287/1000)^3/(12*(1-K287^2)))</x:f>
        <x:v>207111111.11111116</x:v>
      </x:c>
      <x:c r="Q287" s="76" t="n">
        <x:f>IF(OR(I287="",P287=""),"",343.2^2/(2*PI())*SQRT(I287/P287))</x:f>
        <x:v>41.19201061224283</x:v>
      </x:c>
      <x:c r="R287" s="58" t="n">
        <x:v>50</x:v>
      </x:c>
      <x:c r="S287" s="62" t="n">
        <x:v>2</x:v>
      </x:c>
      <x:c r="T287" s="46" t="str">
        <x:v>20 °C / kuru nominal</x:v>
      </x:c>
      <x:c r="U287" s="46" t="str">
        <x:v>ORTA</x:v>
      </x:c>
      <x:c r="V287" s="46" t="str">
        <x:v>https://eurocodes.jrc.ec.europa.eu/</x:v>
      </x:c>
      <x:c r="W287" s="50" t="str">
        <x:v>Ecm EN 1992 bağıntısından; akustik etkin E, çatlak, agrega, nem ve frekansla değişebilir. Donatı hacmi yoğunluğa dahil nominal kabul edilmiştir.</x:v>
      </x:c>
    </x:row>
    <x:row r="288">
      <x:c r="A288" s="46" t="str">
        <x:v>RC-C55_67-80</x:v>
      </x:c>
      <x:c r="B288" s="46" t="str">
        <x:v>Betonarme</x:v>
      </x:c>
      <x:c r="C288" s="46" t="str">
        <x:v>C55/67</x:v>
      </x:c>
      <x:c r="D288" s="46" t="str">
        <x:v>GENERIC / EN 1992</x:v>
      </x:c>
      <x:c r="E288" s="46" t="str">
        <x:v>C55/67</x:v>
      </x:c>
      <x:c r="F288" s="70" t="str">
        <x:v>CODE_BASED_ENGINEERING</x:v>
      </x:c>
      <x:c r="G288" s="54" t="n">
        <x:v>80</x:v>
      </x:c>
      <x:c r="H288" s="54" t="n">
        <x:v>2500</x:v>
      </x:c>
      <x:c r="I288" s="74" t="n">
        <x:f>IF(OR(G288="",H288=""),"",G288/1000*H288)</x:f>
        <x:v>200</x:v>
      </x:c>
      <x:c r="J288" s="75" t="n">
        <x:v>38.21</x:v>
      </x:c>
      <x:c r="K288" s="75" t="n">
        <x:v>0.2</x:v>
      </x:c>
      <x:c r="L288" s="75" t="n">
        <x:v>0.015</x:v>
      </x:c>
      <x:c r="M288" s="75" t="n">
        <x:f>IF(OR(J288="",K288=""),"",J288/(2*(1+K288)))</x:f>
        <x:v>15.920833333333334</x:v>
      </x:c>
      <x:c r="N288" s="76" t="n">
        <x:f>IF(OR(J288="",H288="",K288=""),"",SQRT(J288*1000000000*(1-K288)/(H288*(1+K288)*(1-2*K288))))</x:f>
        <x:v>4120.949189473491</x:v>
      </x:c>
      <x:c r="O288" s="75" t="n">
        <x:f>IF(OR(H288="",N288=""),"",H288*N288/1000000)</x:f>
        <x:v>10.302372973683728</x:v>
      </x:c>
      <x:c r="P288" s="74" t="n">
        <x:f>IF(OR(J288="",G288="",K288=""),"",J288*1000000000*(G288/1000)^3/(12*(1-K288^2)))</x:f>
        <x:v>1698222.2222222227</x:v>
      </x:c>
      <x:c r="Q288" s="76" t="n">
        <x:f>IF(OR(I288="",P288=""),"",343.2^2/(2*PI())*SQRT(I288/P288))</x:f>
        <x:v>203.4381641396972</x:v>
      </x:c>
      <x:c r="R288" s="58" t="n">
        <x:v>55</x:v>
      </x:c>
      <x:c r="S288" s="62" t="n">
        <x:v>2</x:v>
      </x:c>
      <x:c r="T288" s="46" t="str">
        <x:v>20 °C / kuru nominal</x:v>
      </x:c>
      <x:c r="U288" s="46" t="str">
        <x:v>ORTA</x:v>
      </x:c>
      <x:c r="V288" s="46" t="str">
        <x:v>https://eurocodes.jrc.ec.europa.eu/</x:v>
      </x:c>
      <x:c r="W288" s="50" t="str">
        <x:v>Ecm EN 1992 bağıntısından; akustik etkin E, çatlak, agrega, nem ve frekansla değişebilir. Donatı hacmi yoğunluğa dahil nominal kabul edilmiştir.</x:v>
      </x:c>
    </x:row>
    <x:row r="289">
      <x:c r="A289" s="46" t="str">
        <x:v>RC-C55_67-100</x:v>
      </x:c>
      <x:c r="B289" s="46" t="str">
        <x:v>Betonarme</x:v>
      </x:c>
      <x:c r="C289" s="46" t="str">
        <x:v>C55/67</x:v>
      </x:c>
      <x:c r="D289" s="46" t="str">
        <x:v>GENERIC / EN 1992</x:v>
      </x:c>
      <x:c r="E289" s="46" t="str">
        <x:v>C55/67</x:v>
      </x:c>
      <x:c r="F289" s="70" t="str">
        <x:v>CODE_BASED_ENGINEERING</x:v>
      </x:c>
      <x:c r="G289" s="54" t="n">
        <x:v>100</x:v>
      </x:c>
      <x:c r="H289" s="54" t="n">
        <x:v>2500</x:v>
      </x:c>
      <x:c r="I289" s="74" t="n">
        <x:f>IF(OR(G289="",H289=""),"",G289/1000*H289)</x:f>
        <x:v>250</x:v>
      </x:c>
      <x:c r="J289" s="75" t="n">
        <x:v>38.21</x:v>
      </x:c>
      <x:c r="K289" s="75" t="n">
        <x:v>0.2</x:v>
      </x:c>
      <x:c r="L289" s="75" t="n">
        <x:v>0.015</x:v>
      </x:c>
      <x:c r="M289" s="75" t="n">
        <x:f>IF(OR(J289="",K289=""),"",J289/(2*(1+K289)))</x:f>
        <x:v>15.920833333333334</x:v>
      </x:c>
      <x:c r="N289" s="76" t="n">
        <x:f>IF(OR(J289="",H289="",K289=""),"",SQRT(J289*1000000000*(1-K289)/(H289*(1+K289)*(1-2*K289))))</x:f>
        <x:v>4120.949189473491</x:v>
      </x:c>
      <x:c r="O289" s="75" t="n">
        <x:f>IF(OR(H289="",N289=""),"",H289*N289/1000000)</x:f>
        <x:v>10.302372973683728</x:v>
      </x:c>
      <x:c r="P289" s="74" t="n">
        <x:f>IF(OR(J289="",G289="",K289=""),"",J289*1000000000*(G289/1000)^3/(12*(1-K289^2)))</x:f>
        <x:v>3316840.2777777785</x:v>
      </x:c>
      <x:c r="Q289" s="76" t="n">
        <x:f>IF(OR(I289="",P289=""),"",343.2^2/(2*PI())*SQRT(I289/P289))</x:f>
        <x:v>162.75053131175778</x:v>
      </x:c>
      <x:c r="R289" s="58" t="n">
        <x:v>55</x:v>
      </x:c>
      <x:c r="S289" s="62" t="n">
        <x:v>2</x:v>
      </x:c>
      <x:c r="T289" s="46" t="str">
        <x:v>20 °C / kuru nominal</x:v>
      </x:c>
      <x:c r="U289" s="46" t="str">
        <x:v>ORTA</x:v>
      </x:c>
      <x:c r="V289" s="46" t="str">
        <x:v>https://eurocodes.jrc.ec.europa.eu/</x:v>
      </x:c>
      <x:c r="W289" s="50" t="str">
        <x:v>Ecm EN 1992 bağıntısından; akustik etkin E, çatlak, agrega, nem ve frekansla değişebilir. Donatı hacmi yoğunluğa dahil nominal kabul edilmiştir.</x:v>
      </x:c>
    </x:row>
    <x:row r="290">
      <x:c r="A290" s="46" t="str">
        <x:v>RC-C55_67-120</x:v>
      </x:c>
      <x:c r="B290" s="46" t="str">
        <x:v>Betonarme</x:v>
      </x:c>
      <x:c r="C290" s="46" t="str">
        <x:v>C55/67</x:v>
      </x:c>
      <x:c r="D290" s="46" t="str">
        <x:v>GENERIC / EN 1992</x:v>
      </x:c>
      <x:c r="E290" s="46" t="str">
        <x:v>C55/67</x:v>
      </x:c>
      <x:c r="F290" s="70" t="str">
        <x:v>CODE_BASED_ENGINEERING</x:v>
      </x:c>
      <x:c r="G290" s="54" t="n">
        <x:v>120</x:v>
      </x:c>
      <x:c r="H290" s="54" t="n">
        <x:v>2500</x:v>
      </x:c>
      <x:c r="I290" s="74" t="n">
        <x:f>IF(OR(G290="",H290=""),"",G290/1000*H290)</x:f>
        <x:v>300</x:v>
      </x:c>
      <x:c r="J290" s="75" t="n">
        <x:v>38.21</x:v>
      </x:c>
      <x:c r="K290" s="75" t="n">
        <x:v>0.2</x:v>
      </x:c>
      <x:c r="L290" s="75" t="n">
        <x:v>0.015</x:v>
      </x:c>
      <x:c r="M290" s="75" t="n">
        <x:f>IF(OR(J290="",K290=""),"",J290/(2*(1+K290)))</x:f>
        <x:v>15.920833333333334</x:v>
      </x:c>
      <x:c r="N290" s="76" t="n">
        <x:f>IF(OR(J290="",H290="",K290=""),"",SQRT(J290*1000000000*(1-K290)/(H290*(1+K290)*(1-2*K290))))</x:f>
        <x:v>4120.949189473491</x:v>
      </x:c>
      <x:c r="O290" s="75" t="n">
        <x:f>IF(OR(H290="",N290=""),"",H290*N290/1000000)</x:f>
        <x:v>10.302372973683728</x:v>
      </x:c>
      <x:c r="P290" s="74" t="n">
        <x:f>IF(OR(J290="",G290="",K290=""),"",J290*1000000000*(G290/1000)^3/(12*(1-K290^2)))</x:f>
        <x:v>5731500</x:v>
      </x:c>
      <x:c r="Q290" s="76" t="n">
        <x:f>IF(OR(I290="",P290=""),"",343.2^2/(2*PI())*SQRT(I290/P290))</x:f>
        <x:v>135.62544275979815</x:v>
      </x:c>
      <x:c r="R290" s="58" t="n">
        <x:v>55</x:v>
      </x:c>
      <x:c r="S290" s="62" t="n">
        <x:v>2</x:v>
      </x:c>
      <x:c r="T290" s="46" t="str">
        <x:v>20 °C / kuru nominal</x:v>
      </x:c>
      <x:c r="U290" s="46" t="str">
        <x:v>ORTA</x:v>
      </x:c>
      <x:c r="V290" s="46" t="str">
        <x:v>https://eurocodes.jrc.ec.europa.eu/</x:v>
      </x:c>
      <x:c r="W290" s="50" t="str">
        <x:v>Ecm EN 1992 bağıntısından; akustik etkin E, çatlak, agrega, nem ve frekansla değişebilir. Donatı hacmi yoğunluğa dahil nominal kabul edilmiştir.</x:v>
      </x:c>
    </x:row>
    <x:row r="291">
      <x:c r="A291" s="46" t="str">
        <x:v>RC-C55_67-150</x:v>
      </x:c>
      <x:c r="B291" s="46" t="str">
        <x:v>Betonarme</x:v>
      </x:c>
      <x:c r="C291" s="46" t="str">
        <x:v>C55/67</x:v>
      </x:c>
      <x:c r="D291" s="46" t="str">
        <x:v>GENERIC / EN 1992</x:v>
      </x:c>
      <x:c r="E291" s="46" t="str">
        <x:v>C55/67</x:v>
      </x:c>
      <x:c r="F291" s="70" t="str">
        <x:v>CODE_BASED_ENGINEERING</x:v>
      </x:c>
      <x:c r="G291" s="54" t="n">
        <x:v>150</x:v>
      </x:c>
      <x:c r="H291" s="54" t="n">
        <x:v>2500</x:v>
      </x:c>
      <x:c r="I291" s="74" t="n">
        <x:f>IF(OR(G291="",H291=""),"",G291/1000*H291)</x:f>
        <x:v>375</x:v>
      </x:c>
      <x:c r="J291" s="75" t="n">
        <x:v>38.21</x:v>
      </x:c>
      <x:c r="K291" s="75" t="n">
        <x:v>0.2</x:v>
      </x:c>
      <x:c r="L291" s="75" t="n">
        <x:v>0.015</x:v>
      </x:c>
      <x:c r="M291" s="75" t="n">
        <x:f>IF(OR(J291="",K291=""),"",J291/(2*(1+K291)))</x:f>
        <x:v>15.920833333333334</x:v>
      </x:c>
      <x:c r="N291" s="76" t="n">
        <x:f>IF(OR(J291="",H291="",K291=""),"",SQRT(J291*1000000000*(1-K291)/(H291*(1+K291)*(1-2*K291))))</x:f>
        <x:v>4120.949189473491</x:v>
      </x:c>
      <x:c r="O291" s="75" t="n">
        <x:f>IF(OR(H291="",N291=""),"",H291*N291/1000000)</x:f>
        <x:v>10.302372973683728</x:v>
      </x:c>
      <x:c r="P291" s="74" t="n">
        <x:f>IF(OR(J291="",G291="",K291=""),"",J291*1000000000*(G291/1000)^3/(12*(1-K291^2)))</x:f>
        <x:v>11194335.9375</x:v>
      </x:c>
      <x:c r="Q291" s="76" t="n">
        <x:f>IF(OR(I291="",P291=""),"",343.2^2/(2*PI())*SQRT(I291/P291))</x:f>
        <x:v>108.50035420783853</x:v>
      </x:c>
      <x:c r="R291" s="58" t="n">
        <x:v>55</x:v>
      </x:c>
      <x:c r="S291" s="62" t="n">
        <x:v>2</x:v>
      </x:c>
      <x:c r="T291" s="46" t="str">
        <x:v>20 °C / kuru nominal</x:v>
      </x:c>
      <x:c r="U291" s="46" t="str">
        <x:v>ORTA</x:v>
      </x:c>
      <x:c r="V291" s="46" t="str">
        <x:v>https://eurocodes.jrc.ec.europa.eu/</x:v>
      </x:c>
      <x:c r="W291" s="50" t="str">
        <x:v>Ecm EN 1992 bağıntısından; akustik etkin E, çatlak, agrega, nem ve frekansla değişebilir. Donatı hacmi yoğunluğa dahil nominal kabul edilmiştir.</x:v>
      </x:c>
    </x:row>
    <x:row r="292">
      <x:c r="A292" s="46" t="str">
        <x:v>RC-C55_67-180</x:v>
      </x:c>
      <x:c r="B292" s="46" t="str">
        <x:v>Betonarme</x:v>
      </x:c>
      <x:c r="C292" s="46" t="str">
        <x:v>C55/67</x:v>
      </x:c>
      <x:c r="D292" s="46" t="str">
        <x:v>GENERIC / EN 1992</x:v>
      </x:c>
      <x:c r="E292" s="46" t="str">
        <x:v>C55/67</x:v>
      </x:c>
      <x:c r="F292" s="70" t="str">
        <x:v>CODE_BASED_ENGINEERING</x:v>
      </x:c>
      <x:c r="G292" s="54" t="n">
        <x:v>180</x:v>
      </x:c>
      <x:c r="H292" s="54" t="n">
        <x:v>2500</x:v>
      </x:c>
      <x:c r="I292" s="74" t="n">
        <x:f>IF(OR(G292="",H292=""),"",G292/1000*H292)</x:f>
        <x:v>450</x:v>
      </x:c>
      <x:c r="J292" s="75" t="n">
        <x:v>38.21</x:v>
      </x:c>
      <x:c r="K292" s="75" t="n">
        <x:v>0.2</x:v>
      </x:c>
      <x:c r="L292" s="75" t="n">
        <x:v>0.015</x:v>
      </x:c>
      <x:c r="M292" s="75" t="n">
        <x:f>IF(OR(J292="",K292=""),"",J292/(2*(1+K292)))</x:f>
        <x:v>15.920833333333334</x:v>
      </x:c>
      <x:c r="N292" s="76" t="n">
        <x:f>IF(OR(J292="",H292="",K292=""),"",SQRT(J292*1000000000*(1-K292)/(H292*(1+K292)*(1-2*K292))))</x:f>
        <x:v>4120.949189473491</x:v>
      </x:c>
      <x:c r="O292" s="75" t="n">
        <x:f>IF(OR(H292="",N292=""),"",H292*N292/1000000)</x:f>
        <x:v>10.302372973683728</x:v>
      </x:c>
      <x:c r="P292" s="74" t="n">
        <x:f>IF(OR(J292="",G292="",K292=""),"",J292*1000000000*(G292/1000)^3/(12*(1-K292^2)))</x:f>
        <x:v>19343812.499999996</x:v>
      </x:c>
      <x:c r="Q292" s="76" t="n">
        <x:f>IF(OR(I292="",P292=""),"",343.2^2/(2*PI())*SQRT(I292/P292))</x:f>
        <x:v>90.41696183986544</x:v>
      </x:c>
      <x:c r="R292" s="58" t="n">
        <x:v>55</x:v>
      </x:c>
      <x:c r="S292" s="62" t="n">
        <x:v>2</x:v>
      </x:c>
      <x:c r="T292" s="46" t="str">
        <x:v>20 °C / kuru nominal</x:v>
      </x:c>
      <x:c r="U292" s="46" t="str">
        <x:v>ORTA</x:v>
      </x:c>
      <x:c r="V292" s="46" t="str">
        <x:v>https://eurocodes.jrc.ec.europa.eu/</x:v>
      </x:c>
      <x:c r="W292" s="50" t="str">
        <x:v>Ecm EN 1992 bağıntısından; akustik etkin E, çatlak, agrega, nem ve frekansla değişebilir. Donatı hacmi yoğunluğa dahil nominal kabul edilmiştir.</x:v>
      </x:c>
    </x:row>
    <x:row r="293">
      <x:c r="A293" s="46" t="str">
        <x:v>RC-C55_67-200</x:v>
      </x:c>
      <x:c r="B293" s="46" t="str">
        <x:v>Betonarme</x:v>
      </x:c>
      <x:c r="C293" s="46" t="str">
        <x:v>C55/67</x:v>
      </x:c>
      <x:c r="D293" s="46" t="str">
        <x:v>GENERIC / EN 1992</x:v>
      </x:c>
      <x:c r="E293" s="46" t="str">
        <x:v>C55/67</x:v>
      </x:c>
      <x:c r="F293" s="70" t="str">
        <x:v>CODE_BASED_ENGINEERING</x:v>
      </x:c>
      <x:c r="G293" s="54" t="n">
        <x:v>200</x:v>
      </x:c>
      <x:c r="H293" s="54" t="n">
        <x:v>2500</x:v>
      </x:c>
      <x:c r="I293" s="74" t="n">
        <x:f>IF(OR(G293="",H293=""),"",G293/1000*H293)</x:f>
        <x:v>500</x:v>
      </x:c>
      <x:c r="J293" s="75" t="n">
        <x:v>38.21</x:v>
      </x:c>
      <x:c r="K293" s="75" t="n">
        <x:v>0.2</x:v>
      </x:c>
      <x:c r="L293" s="75" t="n">
        <x:v>0.015</x:v>
      </x:c>
      <x:c r="M293" s="75" t="n">
        <x:f>IF(OR(J293="",K293=""),"",J293/(2*(1+K293)))</x:f>
        <x:v>15.920833333333334</x:v>
      </x:c>
      <x:c r="N293" s="76" t="n">
        <x:f>IF(OR(J293="",H293="",K293=""),"",SQRT(J293*1000000000*(1-K293)/(H293*(1+K293)*(1-2*K293))))</x:f>
        <x:v>4120.949189473491</x:v>
      </x:c>
      <x:c r="O293" s="75" t="n">
        <x:f>IF(OR(H293="",N293=""),"",H293*N293/1000000)</x:f>
        <x:v>10.302372973683728</x:v>
      </x:c>
      <x:c r="P293" s="74" t="n">
        <x:f>IF(OR(J293="",G293="",K293=""),"",J293*1000000000*(G293/1000)^3/(12*(1-K293^2)))</x:f>
        <x:v>26534722.222222228</x:v>
      </x:c>
      <x:c r="Q293" s="76" t="n">
        <x:f>IF(OR(I293="",P293=""),"",343.2^2/(2*PI())*SQRT(I293/P293))</x:f>
        <x:v>81.37526565587889</x:v>
      </x:c>
      <x:c r="R293" s="58" t="n">
        <x:v>55</x:v>
      </x:c>
      <x:c r="S293" s="62" t="n">
        <x:v>2</x:v>
      </x:c>
      <x:c r="T293" s="46" t="str">
        <x:v>20 °C / kuru nominal</x:v>
      </x:c>
      <x:c r="U293" s="46" t="str">
        <x:v>ORTA</x:v>
      </x:c>
      <x:c r="V293" s="46" t="str">
        <x:v>https://eurocodes.jrc.ec.europa.eu/</x:v>
      </x:c>
      <x:c r="W293" s="50" t="str">
        <x:v>Ecm EN 1992 bağıntısından; akustik etkin E, çatlak, agrega, nem ve frekansla değişebilir. Donatı hacmi yoğunluğa dahil nominal kabul edilmiştir.</x:v>
      </x:c>
    </x:row>
    <x:row r="294">
      <x:c r="A294" s="46" t="str">
        <x:v>RC-C55_67-220</x:v>
      </x:c>
      <x:c r="B294" s="46" t="str">
        <x:v>Betonarme</x:v>
      </x:c>
      <x:c r="C294" s="46" t="str">
        <x:v>C55/67</x:v>
      </x:c>
      <x:c r="D294" s="46" t="str">
        <x:v>GENERIC / EN 1992</x:v>
      </x:c>
      <x:c r="E294" s="46" t="str">
        <x:v>C55/67</x:v>
      </x:c>
      <x:c r="F294" s="70" t="str">
        <x:v>CODE_BASED_ENGINEERING</x:v>
      </x:c>
      <x:c r="G294" s="54" t="n">
        <x:v>220</x:v>
      </x:c>
      <x:c r="H294" s="54" t="n">
        <x:v>2500</x:v>
      </x:c>
      <x:c r="I294" s="74" t="n">
        <x:f>IF(OR(G294="",H294=""),"",G294/1000*H294)</x:f>
        <x:v>550</x:v>
      </x:c>
      <x:c r="J294" s="75" t="n">
        <x:v>38.21</x:v>
      </x:c>
      <x:c r="K294" s="75" t="n">
        <x:v>0.2</x:v>
      </x:c>
      <x:c r="L294" s="75" t="n">
        <x:v>0.015</x:v>
      </x:c>
      <x:c r="M294" s="75" t="n">
        <x:f>IF(OR(J294="",K294=""),"",J294/(2*(1+K294)))</x:f>
        <x:v>15.920833333333334</x:v>
      </x:c>
      <x:c r="N294" s="76" t="n">
        <x:f>IF(OR(J294="",H294="",K294=""),"",SQRT(J294*1000000000*(1-K294)/(H294*(1+K294)*(1-2*K294))))</x:f>
        <x:v>4120.949189473491</x:v>
      </x:c>
      <x:c r="O294" s="75" t="n">
        <x:f>IF(OR(H294="",N294=""),"",H294*N294/1000000)</x:f>
        <x:v>10.302372973683728</x:v>
      </x:c>
      <x:c r="P294" s="74" t="n">
        <x:f>IF(OR(J294="",G294="",K294=""),"",J294*1000000000*(G294/1000)^3/(12*(1-K294^2)))</x:f>
        <x:v>35317715.277777776</x:v>
      </x:c>
      <x:c r="Q294" s="76" t="n">
        <x:f>IF(OR(I294="",P294=""),"",343.2^2/(2*PI())*SQRT(I294/P294))</x:f>
        <x:v>73.97751423261717</x:v>
      </x:c>
      <x:c r="R294" s="58" t="n">
        <x:v>55</x:v>
      </x:c>
      <x:c r="S294" s="62" t="n">
        <x:v>2</x:v>
      </x:c>
      <x:c r="T294" s="46" t="str">
        <x:v>20 °C / kuru nominal</x:v>
      </x:c>
      <x:c r="U294" s="46" t="str">
        <x:v>ORTA</x:v>
      </x:c>
      <x:c r="V294" s="46" t="str">
        <x:v>https://eurocodes.jrc.ec.europa.eu/</x:v>
      </x:c>
      <x:c r="W294" s="50" t="str">
        <x:v>Ecm EN 1992 bağıntısından; akustik etkin E, çatlak, agrega, nem ve frekansla değişebilir. Donatı hacmi yoğunluğa dahil nominal kabul edilmiştir.</x:v>
      </x:c>
    </x:row>
    <x:row r="295">
      <x:c r="A295" s="46" t="str">
        <x:v>RC-C55_67-250</x:v>
      </x:c>
      <x:c r="B295" s="46" t="str">
        <x:v>Betonarme</x:v>
      </x:c>
      <x:c r="C295" s="46" t="str">
        <x:v>C55/67</x:v>
      </x:c>
      <x:c r="D295" s="46" t="str">
        <x:v>GENERIC / EN 1992</x:v>
      </x:c>
      <x:c r="E295" s="46" t="str">
        <x:v>C55/67</x:v>
      </x:c>
      <x:c r="F295" s="70" t="str">
        <x:v>CODE_BASED_ENGINEERING</x:v>
      </x:c>
      <x:c r="G295" s="54" t="n">
        <x:v>250</x:v>
      </x:c>
      <x:c r="H295" s="54" t="n">
        <x:v>2500</x:v>
      </x:c>
      <x:c r="I295" s="74" t="n">
        <x:f>IF(OR(G295="",H295=""),"",G295/1000*H295)</x:f>
        <x:v>625</x:v>
      </x:c>
      <x:c r="J295" s="75" t="n">
        <x:v>38.21</x:v>
      </x:c>
      <x:c r="K295" s="75" t="n">
        <x:v>0.2</x:v>
      </x:c>
      <x:c r="L295" s="75" t="n">
        <x:v>0.015</x:v>
      </x:c>
      <x:c r="M295" s="75" t="n">
        <x:f>IF(OR(J295="",K295=""),"",J295/(2*(1+K295)))</x:f>
        <x:v>15.920833333333334</x:v>
      </x:c>
      <x:c r="N295" s="76" t="n">
        <x:f>IF(OR(J295="",H295="",K295=""),"",SQRT(J295*1000000000*(1-K295)/(H295*(1+K295)*(1-2*K295))))</x:f>
        <x:v>4120.949189473491</x:v>
      </x:c>
      <x:c r="O295" s="75" t="n">
        <x:f>IF(OR(H295="",N295=""),"",H295*N295/1000000)</x:f>
        <x:v>10.302372973683728</x:v>
      </x:c>
      <x:c r="P295" s="74" t="n">
        <x:f>IF(OR(J295="",G295="",K295=""),"",J295*1000000000*(G295/1000)^3/(12*(1-K295^2)))</x:f>
        <x:v>51825629.340277776</x:v>
      </x:c>
      <x:c r="Q295" s="76" t="n">
        <x:f>IF(OR(I295="",P295=""),"",343.2^2/(2*PI())*SQRT(I295/P295))</x:f>
        <x:v>65.10021252470311</x:v>
      </x:c>
      <x:c r="R295" s="58" t="n">
        <x:v>55</x:v>
      </x:c>
      <x:c r="S295" s="62" t="n">
        <x:v>2</x:v>
      </x:c>
      <x:c r="T295" s="46" t="str">
        <x:v>20 °C / kuru nominal</x:v>
      </x:c>
      <x:c r="U295" s="46" t="str">
        <x:v>ORTA</x:v>
      </x:c>
      <x:c r="V295" s="46" t="str">
        <x:v>https://eurocodes.jrc.ec.europa.eu/</x:v>
      </x:c>
      <x:c r="W295" s="50" t="str">
        <x:v>Ecm EN 1992 bağıntısından; akustik etkin E, çatlak, agrega, nem ve frekansla değişebilir. Donatı hacmi yoğunluğa dahil nominal kabul edilmiştir.</x:v>
      </x:c>
    </x:row>
    <x:row r="296">
      <x:c r="A296" s="46" t="str">
        <x:v>RC-C55_67-300</x:v>
      </x:c>
      <x:c r="B296" s="46" t="str">
        <x:v>Betonarme</x:v>
      </x:c>
      <x:c r="C296" s="46" t="str">
        <x:v>C55/67</x:v>
      </x:c>
      <x:c r="D296" s="46" t="str">
        <x:v>GENERIC / EN 1992</x:v>
      </x:c>
      <x:c r="E296" s="46" t="str">
        <x:v>C55/67</x:v>
      </x:c>
      <x:c r="F296" s="70" t="str">
        <x:v>CODE_BASED_ENGINEERING</x:v>
      </x:c>
      <x:c r="G296" s="54" t="n">
        <x:v>300</x:v>
      </x:c>
      <x:c r="H296" s="54" t="n">
        <x:v>2500</x:v>
      </x:c>
      <x:c r="I296" s="74" t="n">
        <x:f>IF(OR(G296="",H296=""),"",G296/1000*H296)</x:f>
        <x:v>750</x:v>
      </x:c>
      <x:c r="J296" s="75" t="n">
        <x:v>38.21</x:v>
      </x:c>
      <x:c r="K296" s="75" t="n">
        <x:v>0.2</x:v>
      </x:c>
      <x:c r="L296" s="75" t="n">
        <x:v>0.015</x:v>
      </x:c>
      <x:c r="M296" s="75" t="n">
        <x:f>IF(OR(J296="",K296=""),"",J296/(2*(1+K296)))</x:f>
        <x:v>15.920833333333334</x:v>
      </x:c>
      <x:c r="N296" s="76" t="n">
        <x:f>IF(OR(J296="",H296="",K296=""),"",SQRT(J296*1000000000*(1-K296)/(H296*(1+K296)*(1-2*K296))))</x:f>
        <x:v>4120.949189473491</x:v>
      </x:c>
      <x:c r="O296" s="75" t="n">
        <x:f>IF(OR(H296="",N296=""),"",H296*N296/1000000)</x:f>
        <x:v>10.302372973683728</x:v>
      </x:c>
      <x:c r="P296" s="74" t="n">
        <x:f>IF(OR(J296="",G296="",K296=""),"",J296*1000000000*(G296/1000)^3/(12*(1-K296^2)))</x:f>
        <x:v>89554687.5</x:v>
      </x:c>
      <x:c r="Q296" s="76" t="n">
        <x:f>IF(OR(I296="",P296=""),"",343.2^2/(2*PI())*SQRT(I296/P296))</x:f>
        <x:v>54.25017710391926</x:v>
      </x:c>
      <x:c r="R296" s="58" t="n">
        <x:v>55</x:v>
      </x:c>
      <x:c r="S296" s="62" t="n">
        <x:v>2</x:v>
      </x:c>
      <x:c r="T296" s="46" t="str">
        <x:v>20 °C / kuru nominal</x:v>
      </x:c>
      <x:c r="U296" s="46" t="str">
        <x:v>ORTA</x:v>
      </x:c>
      <x:c r="V296" s="46" t="str">
        <x:v>https://eurocodes.jrc.ec.europa.eu/</x:v>
      </x:c>
      <x:c r="W296" s="50" t="str">
        <x:v>Ecm EN 1992 bağıntısından; akustik etkin E, çatlak, agrega, nem ve frekansla değişebilir. Donatı hacmi yoğunluğa dahil nominal kabul edilmiştir.</x:v>
      </x:c>
    </x:row>
    <x:row r="297">
      <x:c r="A297" s="46" t="str">
        <x:v>RC-C55_67-350</x:v>
      </x:c>
      <x:c r="B297" s="46" t="str">
        <x:v>Betonarme</x:v>
      </x:c>
      <x:c r="C297" s="46" t="str">
        <x:v>C55/67</x:v>
      </x:c>
      <x:c r="D297" s="46" t="str">
        <x:v>GENERIC / EN 1992</x:v>
      </x:c>
      <x:c r="E297" s="46" t="str">
        <x:v>C55/67</x:v>
      </x:c>
      <x:c r="F297" s="70" t="str">
        <x:v>CODE_BASED_ENGINEERING</x:v>
      </x:c>
      <x:c r="G297" s="54" t="n">
        <x:v>350</x:v>
      </x:c>
      <x:c r="H297" s="54" t="n">
        <x:v>2500</x:v>
      </x:c>
      <x:c r="I297" s="74" t="n">
        <x:f>IF(OR(G297="",H297=""),"",G297/1000*H297)</x:f>
        <x:v>875</x:v>
      </x:c>
      <x:c r="J297" s="75" t="n">
        <x:v>38.21</x:v>
      </x:c>
      <x:c r="K297" s="75" t="n">
        <x:v>0.2</x:v>
      </x:c>
      <x:c r="L297" s="75" t="n">
        <x:v>0.015</x:v>
      </x:c>
      <x:c r="M297" s="75" t="n">
        <x:f>IF(OR(J297="",K297=""),"",J297/(2*(1+K297)))</x:f>
        <x:v>15.920833333333334</x:v>
      </x:c>
      <x:c r="N297" s="76" t="n">
        <x:f>IF(OR(J297="",H297="",K297=""),"",SQRT(J297*1000000000*(1-K297)/(H297*(1+K297)*(1-2*K297))))</x:f>
        <x:v>4120.949189473491</x:v>
      </x:c>
      <x:c r="O297" s="75" t="n">
        <x:f>IF(OR(H297="",N297=""),"",H297*N297/1000000)</x:f>
        <x:v>10.302372973683728</x:v>
      </x:c>
      <x:c r="P297" s="74" t="n">
        <x:f>IF(OR(J297="",G297="",K297=""),"",J297*1000000000*(G297/1000)^3/(12*(1-K297^2)))</x:f>
        <x:v>142209526.90972218</x:v>
      </x:c>
      <x:c r="Q297" s="76" t="n">
        <x:f>IF(OR(I297="",P297=""),"",343.2^2/(2*PI())*SQRT(I297/P297))</x:f>
        <x:v>46.50015180335937</x:v>
      </x:c>
      <x:c r="R297" s="58" t="n">
        <x:v>55</x:v>
      </x:c>
      <x:c r="S297" s="62" t="n">
        <x:v>2</x:v>
      </x:c>
      <x:c r="T297" s="46" t="str">
        <x:v>20 °C / kuru nominal</x:v>
      </x:c>
      <x:c r="U297" s="46" t="str">
        <x:v>ORTA</x:v>
      </x:c>
      <x:c r="V297" s="46" t="str">
        <x:v>https://eurocodes.jrc.ec.europa.eu/</x:v>
      </x:c>
      <x:c r="W297" s="50" t="str">
        <x:v>Ecm EN 1992 bağıntısından; akustik etkin E, çatlak, agrega, nem ve frekansla değişebilir. Donatı hacmi yoğunluğa dahil nominal kabul edilmiştir.</x:v>
      </x:c>
    </x:row>
    <x:row r="298">
      <x:c r="A298" s="46" t="str">
        <x:v>RC-C55_67-400</x:v>
      </x:c>
      <x:c r="B298" s="46" t="str">
        <x:v>Betonarme</x:v>
      </x:c>
      <x:c r="C298" s="46" t="str">
        <x:v>C55/67</x:v>
      </x:c>
      <x:c r="D298" s="46" t="str">
        <x:v>GENERIC / EN 1992</x:v>
      </x:c>
      <x:c r="E298" s="46" t="str">
        <x:v>C55/67</x:v>
      </x:c>
      <x:c r="F298" s="70" t="str">
        <x:v>CODE_BASED_ENGINEERING</x:v>
      </x:c>
      <x:c r="G298" s="54" t="n">
        <x:v>400</x:v>
      </x:c>
      <x:c r="H298" s="54" t="n">
        <x:v>2500</x:v>
      </x:c>
      <x:c r="I298" s="74" t="n">
        <x:f>IF(OR(G298="",H298=""),"",G298/1000*H298)</x:f>
        <x:v>1000</x:v>
      </x:c>
      <x:c r="J298" s="75" t="n">
        <x:v>38.21</x:v>
      </x:c>
      <x:c r="K298" s="75" t="n">
        <x:v>0.2</x:v>
      </x:c>
      <x:c r="L298" s="75" t="n">
        <x:v>0.015</x:v>
      </x:c>
      <x:c r="M298" s="75" t="n">
        <x:f>IF(OR(J298="",K298=""),"",J298/(2*(1+K298)))</x:f>
        <x:v>15.920833333333334</x:v>
      </x:c>
      <x:c r="N298" s="76" t="n">
        <x:f>IF(OR(J298="",H298="",K298=""),"",SQRT(J298*1000000000*(1-K298)/(H298*(1+K298)*(1-2*K298))))</x:f>
        <x:v>4120.949189473491</x:v>
      </x:c>
      <x:c r="O298" s="75" t="n">
        <x:f>IF(OR(H298="",N298=""),"",H298*N298/1000000)</x:f>
        <x:v>10.302372973683728</x:v>
      </x:c>
      <x:c r="P298" s="74" t="n">
        <x:f>IF(OR(J298="",G298="",K298=""),"",J298*1000000000*(G298/1000)^3/(12*(1-K298^2)))</x:f>
        <x:v>212277777.77777782</x:v>
      </x:c>
      <x:c r="Q298" s="76" t="n">
        <x:f>IF(OR(I298="",P298=""),"",343.2^2/(2*PI())*SQRT(I298/P298))</x:f>
        <x:v>40.687632827939446</x:v>
      </x:c>
      <x:c r="R298" s="58" t="n">
        <x:v>55</x:v>
      </x:c>
      <x:c r="S298" s="62" t="n">
        <x:v>2</x:v>
      </x:c>
      <x:c r="T298" s="46" t="str">
        <x:v>20 °C / kuru nominal</x:v>
      </x:c>
      <x:c r="U298" s="46" t="str">
        <x:v>ORTA</x:v>
      </x:c>
      <x:c r="V298" s="46" t="str">
        <x:v>https://eurocodes.jrc.ec.europa.eu/</x:v>
      </x:c>
      <x:c r="W298" s="50" t="str">
        <x:v>Ecm EN 1992 bağıntısından; akustik etkin E, çatlak, agrega, nem ve frekansla değişebilir. Donatı hacmi yoğunluğa dahil nominal kabul edilmiştir.</x:v>
      </x:c>
    </x:row>
    <x:row r="299">
      <x:c r="A299" s="46" t="str">
        <x:v>RC-C60_75-80</x:v>
      </x:c>
      <x:c r="B299" s="46" t="str">
        <x:v>Betonarme</x:v>
      </x:c>
      <x:c r="C299" s="46" t="str">
        <x:v>C60/75</x:v>
      </x:c>
      <x:c r="D299" s="46" t="str">
        <x:v>GENERIC / EN 1992</x:v>
      </x:c>
      <x:c r="E299" s="46" t="str">
        <x:v>C60/75</x:v>
      </x:c>
      <x:c r="F299" s="70" t="str">
        <x:v>CODE_BASED_ENGINEERING</x:v>
      </x:c>
      <x:c r="G299" s="54" t="n">
        <x:v>80</x:v>
      </x:c>
      <x:c r="H299" s="54" t="n">
        <x:v>2500</x:v>
      </x:c>
      <x:c r="I299" s="74" t="n">
        <x:f>IF(OR(G299="",H299=""),"",G299/1000*H299)</x:f>
        <x:v>200</x:v>
      </x:c>
      <x:c r="J299" s="75" t="n">
        <x:v>39.1</x:v>
      </x:c>
      <x:c r="K299" s="75" t="n">
        <x:v>0.2</x:v>
      </x:c>
      <x:c r="L299" s="75" t="n">
        <x:v>0.015</x:v>
      </x:c>
      <x:c r="M299" s="75" t="n">
        <x:f>IF(OR(J299="",K299=""),"",J299/(2*(1+K299)))</x:f>
        <x:v>16.291666666666668</x:v>
      </x:c>
      <x:c r="N299" s="76" t="n">
        <x:f>IF(OR(J299="",H299="",K299=""),"",SQRT(J299*1000000000*(1-K299)/(H299*(1+K299)*(1-2*K299))))</x:f>
        <x:v>4168.666186896929</x:v>
      </x:c>
      <x:c r="O299" s="75" t="n">
        <x:f>IF(OR(H299="",N299=""),"",H299*N299/1000000)</x:f>
        <x:v>10.42166546724232</x:v>
      </x:c>
      <x:c r="P299" s="74" t="n">
        <x:f>IF(OR(J299="",G299="",K299=""),"",J299*1000000000*(G299/1000)^3/(12*(1-K299^2)))</x:f>
        <x:v>1737777.7777777782</x:v>
      </x:c>
      <x:c r="Q299" s="76" t="n">
        <x:f>IF(OR(I299="",P299=""),"",343.2^2/(2*PI())*SQRT(I299/P299))</x:f>
        <x:v>201.10949162938792</x:v>
      </x:c>
      <x:c r="R299" s="58" t="n">
        <x:v>60</x:v>
      </x:c>
      <x:c r="S299" s="62" t="n">
        <x:v>2</x:v>
      </x:c>
      <x:c r="T299" s="46" t="str">
        <x:v>20 °C / kuru nominal</x:v>
      </x:c>
      <x:c r="U299" s="46" t="str">
        <x:v>ORTA</x:v>
      </x:c>
      <x:c r="V299" s="46" t="str">
        <x:v>https://eurocodes.jrc.ec.europa.eu/</x:v>
      </x:c>
      <x:c r="W299" s="50" t="str">
        <x:v>Ecm EN 1992 bağıntısından; akustik etkin E, çatlak, agrega, nem ve frekansla değişebilir. Donatı hacmi yoğunluğa dahil nominal kabul edilmiştir.</x:v>
      </x:c>
    </x:row>
    <x:row r="300">
      <x:c r="A300" s="46" t="str">
        <x:v>RC-C60_75-100</x:v>
      </x:c>
      <x:c r="B300" s="46" t="str">
        <x:v>Betonarme</x:v>
      </x:c>
      <x:c r="C300" s="46" t="str">
        <x:v>C60/75</x:v>
      </x:c>
      <x:c r="D300" s="46" t="str">
        <x:v>GENERIC / EN 1992</x:v>
      </x:c>
      <x:c r="E300" s="46" t="str">
        <x:v>C60/75</x:v>
      </x:c>
      <x:c r="F300" s="70" t="str">
        <x:v>CODE_BASED_ENGINEERING</x:v>
      </x:c>
      <x:c r="G300" s="54" t="n">
        <x:v>100</x:v>
      </x:c>
      <x:c r="H300" s="54" t="n">
        <x:v>2500</x:v>
      </x:c>
      <x:c r="I300" s="74" t="n">
        <x:f>IF(OR(G300="",H300=""),"",G300/1000*H300)</x:f>
        <x:v>250</x:v>
      </x:c>
      <x:c r="J300" s="75" t="n">
        <x:v>39.1</x:v>
      </x:c>
      <x:c r="K300" s="75" t="n">
        <x:v>0.2</x:v>
      </x:c>
      <x:c r="L300" s="75" t="n">
        <x:v>0.015</x:v>
      </x:c>
      <x:c r="M300" s="75" t="n">
        <x:f>IF(OR(J300="",K300=""),"",J300/(2*(1+K300)))</x:f>
        <x:v>16.291666666666668</x:v>
      </x:c>
      <x:c r="N300" s="76" t="n">
        <x:f>IF(OR(J300="",H300="",K300=""),"",SQRT(J300*1000000000*(1-K300)/(H300*(1+K300)*(1-2*K300))))</x:f>
        <x:v>4168.666186896929</x:v>
      </x:c>
      <x:c r="O300" s="75" t="n">
        <x:f>IF(OR(H300="",N300=""),"",H300*N300/1000000)</x:f>
        <x:v>10.42166546724232</x:v>
      </x:c>
      <x:c r="P300" s="74" t="n">
        <x:f>IF(OR(J300="",G300="",K300=""),"",J300*1000000000*(G300/1000)^3/(12*(1-K300^2)))</x:f>
        <x:v>3394097.222222223</x:v>
      </x:c>
      <x:c r="Q300" s="76" t="n">
        <x:f>IF(OR(I300="",P300=""),"",343.2^2/(2*PI())*SQRT(I300/P300))</x:f>
        <x:v>160.88759330351033</x:v>
      </x:c>
      <x:c r="R300" s="58" t="n">
        <x:v>60</x:v>
      </x:c>
      <x:c r="S300" s="62" t="n">
        <x:v>2</x:v>
      </x:c>
      <x:c r="T300" s="46" t="str">
        <x:v>20 °C / kuru nominal</x:v>
      </x:c>
      <x:c r="U300" s="46" t="str">
        <x:v>ORTA</x:v>
      </x:c>
      <x:c r="V300" s="46" t="str">
        <x:v>https://eurocodes.jrc.ec.europa.eu/</x:v>
      </x:c>
      <x:c r="W300" s="50" t="str">
        <x:v>Ecm EN 1992 bağıntısından; akustik etkin E, çatlak, agrega, nem ve frekansla değişebilir. Donatı hacmi yoğunluğa dahil nominal kabul edilmiştir.</x:v>
      </x:c>
    </x:row>
    <x:row r="301">
      <x:c r="A301" s="46" t="str">
        <x:v>RC-C60_75-120</x:v>
      </x:c>
      <x:c r="B301" s="46" t="str">
        <x:v>Betonarme</x:v>
      </x:c>
      <x:c r="C301" s="46" t="str">
        <x:v>C60/75</x:v>
      </x:c>
      <x:c r="D301" s="46" t="str">
        <x:v>GENERIC / EN 1992</x:v>
      </x:c>
      <x:c r="E301" s="46" t="str">
        <x:v>C60/75</x:v>
      </x:c>
      <x:c r="F301" s="70" t="str">
        <x:v>CODE_BASED_ENGINEERING</x:v>
      </x:c>
      <x:c r="G301" s="54" t="n">
        <x:v>120</x:v>
      </x:c>
      <x:c r="H301" s="54" t="n">
        <x:v>2500</x:v>
      </x:c>
      <x:c r="I301" s="74" t="n">
        <x:f>IF(OR(G301="",H301=""),"",G301/1000*H301)</x:f>
        <x:v>300</x:v>
      </x:c>
      <x:c r="J301" s="75" t="n">
        <x:v>39.1</x:v>
      </x:c>
      <x:c r="K301" s="75" t="n">
        <x:v>0.2</x:v>
      </x:c>
      <x:c r="L301" s="75" t="n">
        <x:v>0.015</x:v>
      </x:c>
      <x:c r="M301" s="75" t="n">
        <x:f>IF(OR(J301="",K301=""),"",J301/(2*(1+K301)))</x:f>
        <x:v>16.291666666666668</x:v>
      </x:c>
      <x:c r="N301" s="76" t="n">
        <x:f>IF(OR(J301="",H301="",K301=""),"",SQRT(J301*1000000000*(1-K301)/(H301*(1+K301)*(1-2*K301))))</x:f>
        <x:v>4168.666186896929</x:v>
      </x:c>
      <x:c r="O301" s="75" t="n">
        <x:f>IF(OR(H301="",N301=""),"",H301*N301/1000000)</x:f>
        <x:v>10.42166546724232</x:v>
      </x:c>
      <x:c r="P301" s="74" t="n">
        <x:f>IF(OR(J301="",G301="",K301=""),"",J301*1000000000*(G301/1000)^3/(12*(1-K301^2)))</x:f>
        <x:v>5865000</x:v>
      </x:c>
      <x:c r="Q301" s="76" t="n">
        <x:f>IF(OR(I301="",P301=""),"",343.2^2/(2*PI())*SQRT(I301/P301))</x:f>
        <x:v>134.07299441959194</x:v>
      </x:c>
      <x:c r="R301" s="58" t="n">
        <x:v>60</x:v>
      </x:c>
      <x:c r="S301" s="62" t="n">
        <x:v>2</x:v>
      </x:c>
      <x:c r="T301" s="46" t="str">
        <x:v>20 °C / kuru nominal</x:v>
      </x:c>
      <x:c r="U301" s="46" t="str">
        <x:v>ORTA</x:v>
      </x:c>
      <x:c r="V301" s="46" t="str">
        <x:v>https://eurocodes.jrc.ec.europa.eu/</x:v>
      </x:c>
      <x:c r="W301" s="50" t="str">
        <x:v>Ecm EN 1992 bağıntısından; akustik etkin E, çatlak, agrega, nem ve frekansla değişebilir. Donatı hacmi yoğunluğa dahil nominal kabul edilmiştir.</x:v>
      </x:c>
    </x:row>
    <x:row r="302">
      <x:c r="A302" s="46" t="str">
        <x:v>RC-C60_75-150</x:v>
      </x:c>
      <x:c r="B302" s="46" t="str">
        <x:v>Betonarme</x:v>
      </x:c>
      <x:c r="C302" s="46" t="str">
        <x:v>C60/75</x:v>
      </x:c>
      <x:c r="D302" s="46" t="str">
        <x:v>GENERIC / EN 1992</x:v>
      </x:c>
      <x:c r="E302" s="46" t="str">
        <x:v>C60/75</x:v>
      </x:c>
      <x:c r="F302" s="70" t="str">
        <x:v>CODE_BASED_ENGINEERING</x:v>
      </x:c>
      <x:c r="G302" s="54" t="n">
        <x:v>150</x:v>
      </x:c>
      <x:c r="H302" s="54" t="n">
        <x:v>2500</x:v>
      </x:c>
      <x:c r="I302" s="74" t="n">
        <x:f>IF(OR(G302="",H302=""),"",G302/1000*H302)</x:f>
        <x:v>375</x:v>
      </x:c>
      <x:c r="J302" s="75" t="n">
        <x:v>39.1</x:v>
      </x:c>
      <x:c r="K302" s="75" t="n">
        <x:v>0.2</x:v>
      </x:c>
      <x:c r="L302" s="75" t="n">
        <x:v>0.015</x:v>
      </x:c>
      <x:c r="M302" s="75" t="n">
        <x:f>IF(OR(J302="",K302=""),"",J302/(2*(1+K302)))</x:f>
        <x:v>16.291666666666668</x:v>
      </x:c>
      <x:c r="N302" s="76" t="n">
        <x:f>IF(OR(J302="",H302="",K302=""),"",SQRT(J302*1000000000*(1-K302)/(H302*(1+K302)*(1-2*K302))))</x:f>
        <x:v>4168.666186896929</x:v>
      </x:c>
      <x:c r="O302" s="75" t="n">
        <x:f>IF(OR(H302="",N302=""),"",H302*N302/1000000)</x:f>
        <x:v>10.42166546724232</x:v>
      </x:c>
      <x:c r="P302" s="74" t="n">
        <x:f>IF(OR(J302="",G302="",K302=""),"",J302*1000000000*(G302/1000)^3/(12*(1-K302^2)))</x:f>
        <x:v>11455078.125</x:v>
      </x:c>
      <x:c r="Q302" s="76" t="n">
        <x:f>IF(OR(I302="",P302=""),"",343.2^2/(2*PI())*SQRT(I302/P302))</x:f>
        <x:v>107.25839553567354</x:v>
      </x:c>
      <x:c r="R302" s="58" t="n">
        <x:v>60</x:v>
      </x:c>
      <x:c r="S302" s="62" t="n">
        <x:v>2</x:v>
      </x:c>
      <x:c r="T302" s="46" t="str">
        <x:v>20 °C / kuru nominal</x:v>
      </x:c>
      <x:c r="U302" s="46" t="str">
        <x:v>ORTA</x:v>
      </x:c>
      <x:c r="V302" s="46" t="str">
        <x:v>https://eurocodes.jrc.ec.europa.eu/</x:v>
      </x:c>
      <x:c r="W302" s="50" t="str">
        <x:v>Ecm EN 1992 bağıntısından; akustik etkin E, çatlak, agrega, nem ve frekansla değişebilir. Donatı hacmi yoğunluğa dahil nominal kabul edilmiştir.</x:v>
      </x:c>
    </x:row>
    <x:row r="303">
      <x:c r="A303" s="46" t="str">
        <x:v>RC-C60_75-180</x:v>
      </x:c>
      <x:c r="B303" s="46" t="str">
        <x:v>Betonarme</x:v>
      </x:c>
      <x:c r="C303" s="46" t="str">
        <x:v>C60/75</x:v>
      </x:c>
      <x:c r="D303" s="46" t="str">
        <x:v>GENERIC / EN 1992</x:v>
      </x:c>
      <x:c r="E303" s="46" t="str">
        <x:v>C60/75</x:v>
      </x:c>
      <x:c r="F303" s="70" t="str">
        <x:v>CODE_BASED_ENGINEERING</x:v>
      </x:c>
      <x:c r="G303" s="54" t="n">
        <x:v>180</x:v>
      </x:c>
      <x:c r="H303" s="54" t="n">
        <x:v>2500</x:v>
      </x:c>
      <x:c r="I303" s="74" t="n">
        <x:f>IF(OR(G303="",H303=""),"",G303/1000*H303)</x:f>
        <x:v>450</x:v>
      </x:c>
      <x:c r="J303" s="75" t="n">
        <x:v>39.1</x:v>
      </x:c>
      <x:c r="K303" s="75" t="n">
        <x:v>0.2</x:v>
      </x:c>
      <x:c r="L303" s="75" t="n">
        <x:v>0.015</x:v>
      </x:c>
      <x:c r="M303" s="75" t="n">
        <x:f>IF(OR(J303="",K303=""),"",J303/(2*(1+K303)))</x:f>
        <x:v>16.291666666666668</x:v>
      </x:c>
      <x:c r="N303" s="76" t="n">
        <x:f>IF(OR(J303="",H303="",K303=""),"",SQRT(J303*1000000000*(1-K303)/(H303*(1+K303)*(1-2*K303))))</x:f>
        <x:v>4168.666186896929</x:v>
      </x:c>
      <x:c r="O303" s="75" t="n">
        <x:f>IF(OR(H303="",N303=""),"",H303*N303/1000000)</x:f>
        <x:v>10.42166546724232</x:v>
      </x:c>
      <x:c r="P303" s="74" t="n">
        <x:f>IF(OR(J303="",G303="",K303=""),"",J303*1000000000*(G303/1000)^3/(12*(1-K303^2)))</x:f>
        <x:v>19794375</x:v>
      </x:c>
      <x:c r="Q303" s="76" t="n">
        <x:f>IF(OR(I303="",P303=""),"",343.2^2/(2*PI())*SQRT(I303/P303))</x:f>
        <x:v>89.38199627972797</x:v>
      </x:c>
      <x:c r="R303" s="58" t="n">
        <x:v>60</x:v>
      </x:c>
      <x:c r="S303" s="62" t="n">
        <x:v>2</x:v>
      </x:c>
      <x:c r="T303" s="46" t="str">
        <x:v>20 °C / kuru nominal</x:v>
      </x:c>
      <x:c r="U303" s="46" t="str">
        <x:v>ORTA</x:v>
      </x:c>
      <x:c r="V303" s="46" t="str">
        <x:v>https://eurocodes.jrc.ec.europa.eu/</x:v>
      </x:c>
      <x:c r="W303" s="50" t="str">
        <x:v>Ecm EN 1992 bağıntısından; akustik etkin E, çatlak, agrega, nem ve frekansla değişebilir. Donatı hacmi yoğunluğa dahil nominal kabul edilmiştir.</x:v>
      </x:c>
    </x:row>
    <x:row r="304">
      <x:c r="A304" s="46" t="str">
        <x:v>RC-C60_75-200</x:v>
      </x:c>
      <x:c r="B304" s="46" t="str">
        <x:v>Betonarme</x:v>
      </x:c>
      <x:c r="C304" s="46" t="str">
        <x:v>C60/75</x:v>
      </x:c>
      <x:c r="D304" s="46" t="str">
        <x:v>GENERIC / EN 1992</x:v>
      </x:c>
      <x:c r="E304" s="46" t="str">
        <x:v>C60/75</x:v>
      </x:c>
      <x:c r="F304" s="70" t="str">
        <x:v>CODE_BASED_ENGINEERING</x:v>
      </x:c>
      <x:c r="G304" s="54" t="n">
        <x:v>200</x:v>
      </x:c>
      <x:c r="H304" s="54" t="n">
        <x:v>2500</x:v>
      </x:c>
      <x:c r="I304" s="74" t="n">
        <x:f>IF(OR(G304="",H304=""),"",G304/1000*H304)</x:f>
        <x:v>500</x:v>
      </x:c>
      <x:c r="J304" s="75" t="n">
        <x:v>39.1</x:v>
      </x:c>
      <x:c r="K304" s="75" t="n">
        <x:v>0.2</x:v>
      </x:c>
      <x:c r="L304" s="75" t="n">
        <x:v>0.015</x:v>
      </x:c>
      <x:c r="M304" s="75" t="n">
        <x:f>IF(OR(J304="",K304=""),"",J304/(2*(1+K304)))</x:f>
        <x:v>16.291666666666668</x:v>
      </x:c>
      <x:c r="N304" s="76" t="n">
        <x:f>IF(OR(J304="",H304="",K304=""),"",SQRT(J304*1000000000*(1-K304)/(H304*(1+K304)*(1-2*K304))))</x:f>
        <x:v>4168.666186896929</x:v>
      </x:c>
      <x:c r="O304" s="75" t="n">
        <x:f>IF(OR(H304="",N304=""),"",H304*N304/1000000)</x:f>
        <x:v>10.42166546724232</x:v>
      </x:c>
      <x:c r="P304" s="74" t="n">
        <x:f>IF(OR(J304="",G304="",K304=""),"",J304*1000000000*(G304/1000)^3/(12*(1-K304^2)))</x:f>
        <x:v>27152777.777777784</x:v>
      </x:c>
      <x:c r="Q304" s="76" t="n">
        <x:f>IF(OR(I304="",P304=""),"",343.2^2/(2*PI())*SQRT(I304/P304))</x:f>
        <x:v>80.44379665175516</x:v>
      </x:c>
      <x:c r="R304" s="58" t="n">
        <x:v>60</x:v>
      </x:c>
      <x:c r="S304" s="62" t="n">
        <x:v>2</x:v>
      </x:c>
      <x:c r="T304" s="46" t="str">
        <x:v>20 °C / kuru nominal</x:v>
      </x:c>
      <x:c r="U304" s="46" t="str">
        <x:v>ORTA</x:v>
      </x:c>
      <x:c r="V304" s="46" t="str">
        <x:v>https://eurocodes.jrc.ec.europa.eu/</x:v>
      </x:c>
      <x:c r="W304" s="50" t="str">
        <x:v>Ecm EN 1992 bağıntısından; akustik etkin E, çatlak, agrega, nem ve frekansla değişebilir. Donatı hacmi yoğunluğa dahil nominal kabul edilmiştir.</x:v>
      </x:c>
    </x:row>
    <x:row r="305">
      <x:c r="A305" s="46" t="str">
        <x:v>RC-C60_75-220</x:v>
      </x:c>
      <x:c r="B305" s="46" t="str">
        <x:v>Betonarme</x:v>
      </x:c>
      <x:c r="C305" s="46" t="str">
        <x:v>C60/75</x:v>
      </x:c>
      <x:c r="D305" s="46" t="str">
        <x:v>GENERIC / EN 1992</x:v>
      </x:c>
      <x:c r="E305" s="46" t="str">
        <x:v>C60/75</x:v>
      </x:c>
      <x:c r="F305" s="70" t="str">
        <x:v>CODE_BASED_ENGINEERING</x:v>
      </x:c>
      <x:c r="G305" s="54" t="n">
        <x:v>220</x:v>
      </x:c>
      <x:c r="H305" s="54" t="n">
        <x:v>2500</x:v>
      </x:c>
      <x:c r="I305" s="74" t="n">
        <x:f>IF(OR(G305="",H305=""),"",G305/1000*H305)</x:f>
        <x:v>550</x:v>
      </x:c>
      <x:c r="J305" s="75" t="n">
        <x:v>39.1</x:v>
      </x:c>
      <x:c r="K305" s="75" t="n">
        <x:v>0.2</x:v>
      </x:c>
      <x:c r="L305" s="75" t="n">
        <x:v>0.015</x:v>
      </x:c>
      <x:c r="M305" s="75" t="n">
        <x:f>IF(OR(J305="",K305=""),"",J305/(2*(1+K305)))</x:f>
        <x:v>16.291666666666668</x:v>
      </x:c>
      <x:c r="N305" s="76" t="n">
        <x:f>IF(OR(J305="",H305="",K305=""),"",SQRT(J305*1000000000*(1-K305)/(H305*(1+K305)*(1-2*K305))))</x:f>
        <x:v>4168.666186896929</x:v>
      </x:c>
      <x:c r="O305" s="75" t="n">
        <x:f>IF(OR(H305="",N305=""),"",H305*N305/1000000)</x:f>
        <x:v>10.42166546724232</x:v>
      </x:c>
      <x:c r="P305" s="74" t="n">
        <x:f>IF(OR(J305="",G305="",K305=""),"",J305*1000000000*(G305/1000)^3/(12*(1-K305^2)))</x:f>
        <x:v>36140347.222222224</x:v>
      </x:c>
      <x:c r="Q305" s="76" t="n">
        <x:f>IF(OR(I305="",P305=""),"",343.2^2/(2*PI())*SQRT(I305/P305))</x:f>
        <x:v>73.13072422886833</x:v>
      </x:c>
      <x:c r="R305" s="58" t="n">
        <x:v>60</x:v>
      </x:c>
      <x:c r="S305" s="62" t="n">
        <x:v>2</x:v>
      </x:c>
      <x:c r="T305" s="46" t="str">
        <x:v>20 °C / kuru nominal</x:v>
      </x:c>
      <x:c r="U305" s="46" t="str">
        <x:v>ORTA</x:v>
      </x:c>
      <x:c r="V305" s="46" t="str">
        <x:v>https://eurocodes.jrc.ec.europa.eu/</x:v>
      </x:c>
      <x:c r="W305" s="50" t="str">
        <x:v>Ecm EN 1992 bağıntısından; akustik etkin E, çatlak, agrega, nem ve frekansla değişebilir. Donatı hacmi yoğunluğa dahil nominal kabul edilmiştir.</x:v>
      </x:c>
    </x:row>
    <x:row r="306">
      <x:c r="A306" s="46" t="str">
        <x:v>RC-C60_75-250</x:v>
      </x:c>
      <x:c r="B306" s="46" t="str">
        <x:v>Betonarme</x:v>
      </x:c>
      <x:c r="C306" s="46" t="str">
        <x:v>C60/75</x:v>
      </x:c>
      <x:c r="D306" s="46" t="str">
        <x:v>GENERIC / EN 1992</x:v>
      </x:c>
      <x:c r="E306" s="46" t="str">
        <x:v>C60/75</x:v>
      </x:c>
      <x:c r="F306" s="70" t="str">
        <x:v>CODE_BASED_ENGINEERING</x:v>
      </x:c>
      <x:c r="G306" s="54" t="n">
        <x:v>250</x:v>
      </x:c>
      <x:c r="H306" s="54" t="n">
        <x:v>2500</x:v>
      </x:c>
      <x:c r="I306" s="74" t="n">
        <x:f>IF(OR(G306="",H306=""),"",G306/1000*H306)</x:f>
        <x:v>625</x:v>
      </x:c>
      <x:c r="J306" s="75" t="n">
        <x:v>39.1</x:v>
      </x:c>
      <x:c r="K306" s="75" t="n">
        <x:v>0.2</x:v>
      </x:c>
      <x:c r="L306" s="75" t="n">
        <x:v>0.015</x:v>
      </x:c>
      <x:c r="M306" s="75" t="n">
        <x:f>IF(OR(J306="",K306=""),"",J306/(2*(1+K306)))</x:f>
        <x:v>16.291666666666668</x:v>
      </x:c>
      <x:c r="N306" s="76" t="n">
        <x:f>IF(OR(J306="",H306="",K306=""),"",SQRT(J306*1000000000*(1-K306)/(H306*(1+K306)*(1-2*K306))))</x:f>
        <x:v>4168.666186896929</x:v>
      </x:c>
      <x:c r="O306" s="75" t="n">
        <x:f>IF(OR(H306="",N306=""),"",H306*N306/1000000)</x:f>
        <x:v>10.42166546724232</x:v>
      </x:c>
      <x:c r="P306" s="74" t="n">
        <x:f>IF(OR(J306="",G306="",K306=""),"",J306*1000000000*(G306/1000)^3/(12*(1-K306^2)))</x:f>
        <x:v>53032769.097222224</x:v>
      </x:c>
      <x:c r="Q306" s="76" t="n">
        <x:f>IF(OR(I306="",P306=""),"",343.2^2/(2*PI())*SQRT(I306/P306))</x:f>
        <x:v>64.35503732140414</x:v>
      </x:c>
      <x:c r="R306" s="58" t="n">
        <x:v>60</x:v>
      </x:c>
      <x:c r="S306" s="62" t="n">
        <x:v>2</x:v>
      </x:c>
      <x:c r="T306" s="46" t="str">
        <x:v>20 °C / kuru nominal</x:v>
      </x:c>
      <x:c r="U306" s="46" t="str">
        <x:v>ORTA</x:v>
      </x:c>
      <x:c r="V306" s="46" t="str">
        <x:v>https://eurocodes.jrc.ec.europa.eu/</x:v>
      </x:c>
      <x:c r="W306" s="50" t="str">
        <x:v>Ecm EN 1992 bağıntısından; akustik etkin E, çatlak, agrega, nem ve frekansla değişebilir. Donatı hacmi yoğunluğa dahil nominal kabul edilmiştir.</x:v>
      </x:c>
    </x:row>
    <x:row r="307">
      <x:c r="A307" s="46" t="str">
        <x:v>RC-C60_75-300</x:v>
      </x:c>
      <x:c r="B307" s="46" t="str">
        <x:v>Betonarme</x:v>
      </x:c>
      <x:c r="C307" s="46" t="str">
        <x:v>C60/75</x:v>
      </x:c>
      <x:c r="D307" s="46" t="str">
        <x:v>GENERIC / EN 1992</x:v>
      </x:c>
      <x:c r="E307" s="46" t="str">
        <x:v>C60/75</x:v>
      </x:c>
      <x:c r="F307" s="70" t="str">
        <x:v>CODE_BASED_ENGINEERING</x:v>
      </x:c>
      <x:c r="G307" s="54" t="n">
        <x:v>300</x:v>
      </x:c>
      <x:c r="H307" s="54" t="n">
        <x:v>2500</x:v>
      </x:c>
      <x:c r="I307" s="74" t="n">
        <x:f>IF(OR(G307="",H307=""),"",G307/1000*H307)</x:f>
        <x:v>750</x:v>
      </x:c>
      <x:c r="J307" s="75" t="n">
        <x:v>39.1</x:v>
      </x:c>
      <x:c r="K307" s="75" t="n">
        <x:v>0.2</x:v>
      </x:c>
      <x:c r="L307" s="75" t="n">
        <x:v>0.015</x:v>
      </x:c>
      <x:c r="M307" s="75" t="n">
        <x:f>IF(OR(J307="",K307=""),"",J307/(2*(1+K307)))</x:f>
        <x:v>16.291666666666668</x:v>
      </x:c>
      <x:c r="N307" s="76" t="n">
        <x:f>IF(OR(J307="",H307="",K307=""),"",SQRT(J307*1000000000*(1-K307)/(H307*(1+K307)*(1-2*K307))))</x:f>
        <x:v>4168.666186896929</x:v>
      </x:c>
      <x:c r="O307" s="75" t="n">
        <x:f>IF(OR(H307="",N307=""),"",H307*N307/1000000)</x:f>
        <x:v>10.42166546724232</x:v>
      </x:c>
      <x:c r="P307" s="74" t="n">
        <x:f>IF(OR(J307="",G307="",K307=""),"",J307*1000000000*(G307/1000)^3/(12*(1-K307^2)))</x:f>
        <x:v>91640625</x:v>
      </x:c>
      <x:c r="Q307" s="76" t="n">
        <x:f>IF(OR(I307="",P307=""),"",343.2^2/(2*PI())*SQRT(I307/P307))</x:f>
        <x:v>53.62919776783677</x:v>
      </x:c>
      <x:c r="R307" s="58" t="n">
        <x:v>60</x:v>
      </x:c>
      <x:c r="S307" s="62" t="n">
        <x:v>2</x:v>
      </x:c>
      <x:c r="T307" s="46" t="str">
        <x:v>20 °C / kuru nominal</x:v>
      </x:c>
      <x:c r="U307" s="46" t="str">
        <x:v>ORTA</x:v>
      </x:c>
      <x:c r="V307" s="46" t="str">
        <x:v>https://eurocodes.jrc.ec.europa.eu/</x:v>
      </x:c>
      <x:c r="W307" s="50" t="str">
        <x:v>Ecm EN 1992 bağıntısından; akustik etkin E, çatlak, agrega, nem ve frekansla değişebilir. Donatı hacmi yoğunluğa dahil nominal kabul edilmiştir.</x:v>
      </x:c>
    </x:row>
    <x:row r="308">
      <x:c r="A308" s="46" t="str">
        <x:v>RC-C60_75-350</x:v>
      </x:c>
      <x:c r="B308" s="46" t="str">
        <x:v>Betonarme</x:v>
      </x:c>
      <x:c r="C308" s="46" t="str">
        <x:v>C60/75</x:v>
      </x:c>
      <x:c r="D308" s="46" t="str">
        <x:v>GENERIC / EN 1992</x:v>
      </x:c>
      <x:c r="E308" s="46" t="str">
        <x:v>C60/75</x:v>
      </x:c>
      <x:c r="F308" s="70" t="str">
        <x:v>CODE_BASED_ENGINEERING</x:v>
      </x:c>
      <x:c r="G308" s="54" t="n">
        <x:v>350</x:v>
      </x:c>
      <x:c r="H308" s="54" t="n">
        <x:v>2500</x:v>
      </x:c>
      <x:c r="I308" s="74" t="n">
        <x:f>IF(OR(G308="",H308=""),"",G308/1000*H308)</x:f>
        <x:v>875</x:v>
      </x:c>
      <x:c r="J308" s="75" t="n">
        <x:v>39.1</x:v>
      </x:c>
      <x:c r="K308" s="75" t="n">
        <x:v>0.2</x:v>
      </x:c>
      <x:c r="L308" s="75" t="n">
        <x:v>0.015</x:v>
      </x:c>
      <x:c r="M308" s="75" t="n">
        <x:f>IF(OR(J308="",K308=""),"",J308/(2*(1+K308)))</x:f>
        <x:v>16.291666666666668</x:v>
      </x:c>
      <x:c r="N308" s="76" t="n">
        <x:f>IF(OR(J308="",H308="",K308=""),"",SQRT(J308*1000000000*(1-K308)/(H308*(1+K308)*(1-2*K308))))</x:f>
        <x:v>4168.666186896929</x:v>
      </x:c>
      <x:c r="O308" s="75" t="n">
        <x:f>IF(OR(H308="",N308=""),"",H308*N308/1000000)</x:f>
        <x:v>10.42166546724232</x:v>
      </x:c>
      <x:c r="P308" s="74" t="n">
        <x:f>IF(OR(J308="",G308="",K308=""),"",J308*1000000000*(G308/1000)^3/(12*(1-K308^2)))</x:f>
        <x:v>145521918.40277773</x:v>
      </x:c>
      <x:c r="Q308" s="76" t="n">
        <x:f>IF(OR(I308="",P308=""),"",343.2^2/(2*PI())*SQRT(I308/P308))</x:f>
        <x:v>45.96788380100296</x:v>
      </x:c>
      <x:c r="R308" s="58" t="n">
        <x:v>60</x:v>
      </x:c>
      <x:c r="S308" s="62" t="n">
        <x:v>2</x:v>
      </x:c>
      <x:c r="T308" s="46" t="str">
        <x:v>20 °C / kuru nominal</x:v>
      </x:c>
      <x:c r="U308" s="46" t="str">
        <x:v>ORTA</x:v>
      </x:c>
      <x:c r="V308" s="46" t="str">
        <x:v>https://eurocodes.jrc.ec.europa.eu/</x:v>
      </x:c>
      <x:c r="W308" s="50" t="str">
        <x:v>Ecm EN 1992 bağıntısından; akustik etkin E, çatlak, agrega, nem ve frekansla değişebilir. Donatı hacmi yoğunluğa dahil nominal kabul edilmiştir.</x:v>
      </x:c>
    </x:row>
    <x:row r="309">
      <x:c r="A309" s="46" t="str">
        <x:v>RC-C60_75-400</x:v>
      </x:c>
      <x:c r="B309" s="46" t="str">
        <x:v>Betonarme</x:v>
      </x:c>
      <x:c r="C309" s="46" t="str">
        <x:v>C60/75</x:v>
      </x:c>
      <x:c r="D309" s="46" t="str">
        <x:v>GENERIC / EN 1992</x:v>
      </x:c>
      <x:c r="E309" s="46" t="str">
        <x:v>C60/75</x:v>
      </x:c>
      <x:c r="F309" s="70" t="str">
        <x:v>CODE_BASED_ENGINEERING</x:v>
      </x:c>
      <x:c r="G309" s="54" t="n">
        <x:v>400</x:v>
      </x:c>
      <x:c r="H309" s="54" t="n">
        <x:v>2500</x:v>
      </x:c>
      <x:c r="I309" s="74" t="n">
        <x:f>IF(OR(G309="",H309=""),"",G309/1000*H309)</x:f>
        <x:v>1000</x:v>
      </x:c>
      <x:c r="J309" s="75" t="n">
        <x:v>39.1</x:v>
      </x:c>
      <x:c r="K309" s="75" t="n">
        <x:v>0.2</x:v>
      </x:c>
      <x:c r="L309" s="75" t="n">
        <x:v>0.015</x:v>
      </x:c>
      <x:c r="M309" s="75" t="n">
        <x:f>IF(OR(J309="",K309=""),"",J309/(2*(1+K309)))</x:f>
        <x:v>16.291666666666668</x:v>
      </x:c>
      <x:c r="N309" s="76" t="n">
        <x:f>IF(OR(J309="",H309="",K309=""),"",SQRT(J309*1000000000*(1-K309)/(H309*(1+K309)*(1-2*K309))))</x:f>
        <x:v>4168.666186896929</x:v>
      </x:c>
      <x:c r="O309" s="75" t="n">
        <x:f>IF(OR(H309="",N309=""),"",H309*N309/1000000)</x:f>
        <x:v>10.42166546724232</x:v>
      </x:c>
      <x:c r="P309" s="74" t="n">
        <x:f>IF(OR(J309="",G309="",K309=""),"",J309*1000000000*(G309/1000)^3/(12*(1-K309^2)))</x:f>
        <x:v>217222222.22222227</x:v>
      </x:c>
      <x:c r="Q309" s="76" t="n">
        <x:f>IF(OR(I309="",P309=""),"",343.2^2/(2*PI())*SQRT(I309/P309))</x:f>
        <x:v>40.22189832587758</x:v>
      </x:c>
      <x:c r="R309" s="58" t="n">
        <x:v>60</x:v>
      </x:c>
      <x:c r="S309" s="62" t="n">
        <x:v>2</x:v>
      </x:c>
      <x:c r="T309" s="46" t="str">
        <x:v>20 °C / kuru nominal</x:v>
      </x:c>
      <x:c r="U309" s="46" t="str">
        <x:v>ORTA</x:v>
      </x:c>
      <x:c r="V309" s="46" t="str">
        <x:v>https://eurocodes.jrc.ec.europa.eu/</x:v>
      </x:c>
      <x:c r="W309" s="50" t="str">
        <x:v>Ecm EN 1992 bağıntısından; akustik etkin E, çatlak, agrega, nem ve frekansla değişebilir. Donatı hacmi yoğunluğa dahil nominal kabul edilmiştir.</x:v>
      </x:c>
    </x:row>
    <x:row r="310">
      <x:c r="A310" s="46" t="str">
        <x:v>PL-GYPS-PERLITE-5</x:v>
      </x:c>
      <x:c r="B310" s="46" t="str">
        <x:v>Sıva / kaplama</x:v>
      </x:c>
      <x:c r="C310" s="46" t="str">
        <x:v>Perlitli hafif alçı sıva</x:v>
      </x:c>
      <x:c r="D310" s="46" t="str">
        <x:v>GENERIC</x:v>
      </x:c>
      <x:c r="E310" s="46" t="str">
        <x:v>GYPS-PERLITE</x:v>
      </x:c>
      <x:c r="F310" s="70" t="str">
        <x:v>ENGINEERING_DEFAULT</x:v>
      </x:c>
      <x:c r="G310" s="54" t="n">
        <x:v>5</x:v>
      </x:c>
      <x:c r="H310" s="54" t="n">
        <x:v>850</x:v>
      </x:c>
      <x:c r="I310" s="74" t="n">
        <x:f>IF(OR(G310="",H310=""),"",G310/1000*H310)</x:f>
        <x:v>4.25</x:v>
      </x:c>
      <x:c r="J310" s="75" t="n">
        <x:v>1.2</x:v>
      </x:c>
      <x:c r="K310" s="75" t="n">
        <x:v>0.25</x:v>
      </x:c>
      <x:c r="L310" s="75" t="n">
        <x:v>0.03</x:v>
      </x:c>
      <x:c r="M310" s="75" t="n">
        <x:f>IF(OR(J310="",K310=""),"",J310/(2*(1+K310)))</x:f>
        <x:v>0.48</x:v>
      </x:c>
      <x:c r="N310" s="76" t="n">
        <x:f>IF(OR(J310="",H310="",K310=""),"",SQRT(J310*1000000000*(1-K310)/(H310*(1+K310)*(1-2*K310))))</x:f>
        <x:v>1301.582746911937</x:v>
      </x:c>
      <x:c r="O310" s="75" t="n">
        <x:f>IF(OR(H310="",N310=""),"",H310*N310/1000000)</x:f>
        <x:v>1.1063453348751464</x:v>
      </x:c>
      <x:c r="P310" s="74" t="n">
        <x:f>IF(OR(J310="",G310="",K310=""),"",J310*1000000000*(G310/1000)^3/(12*(1-K310^2)))</x:f>
        <x:v>13.333333333333336</x:v>
      </x:c>
      <x:c r="Q310" s="76" t="n">
        <x:f>IF(OR(I310="",P310=""),"",343.2^2/(2*PI())*SQRT(I310/P310))</x:f>
        <x:v>10583.755213630951</x:v>
      </x:c>
      <x:c r="R310" s="58"/>
      <x:c r="S310" s="62" t="n">
        <x:v>0.25</x:v>
      </x:c>
      <x:c r="T310" s="46" t="str">
        <x:v>20 °C / kuru nominal</x:v>
      </x:c>
      <x:c r="U310" s="46" t="str">
        <x:v>DÜŞÜK-ORTA</x:v>
      </x:c>
      <x:c r="V310" s="46" t="str"/>
      <x:c r="W310" s="50" t="str">
        <x:v>Karışım, su/bağlayıcı oranı, kür, nem ve altlığa göre geniş değişim; proje ürünüyle kalibre edin.</x:v>
      </x:c>
    </x:row>
    <x:row r="311">
      <x:c r="A311" s="46" t="str">
        <x:v>PL-GYPS-PERLITE-10</x:v>
      </x:c>
      <x:c r="B311" s="46" t="str">
        <x:v>Sıva / kaplama</x:v>
      </x:c>
      <x:c r="C311" s="46" t="str">
        <x:v>Perlitli hafif alçı sıva</x:v>
      </x:c>
      <x:c r="D311" s="46" t="str">
        <x:v>GENERIC</x:v>
      </x:c>
      <x:c r="E311" s="46" t="str">
        <x:v>GYPS-PERLITE</x:v>
      </x:c>
      <x:c r="F311" s="70" t="str">
        <x:v>ENGINEERING_DEFAULT</x:v>
      </x:c>
      <x:c r="G311" s="54" t="n">
        <x:v>10</x:v>
      </x:c>
      <x:c r="H311" s="54" t="n">
        <x:v>850</x:v>
      </x:c>
      <x:c r="I311" s="74" t="n">
        <x:f>IF(OR(G311="",H311=""),"",G311/1000*H311)</x:f>
        <x:v>8.5</x:v>
      </x:c>
      <x:c r="J311" s="75" t="n">
        <x:v>1.2</x:v>
      </x:c>
      <x:c r="K311" s="75" t="n">
        <x:v>0.25</x:v>
      </x:c>
      <x:c r="L311" s="75" t="n">
        <x:v>0.03</x:v>
      </x:c>
      <x:c r="M311" s="75" t="n">
        <x:f>IF(OR(J311="",K311=""),"",J311/(2*(1+K311)))</x:f>
        <x:v>0.48</x:v>
      </x:c>
      <x:c r="N311" s="76" t="n">
        <x:f>IF(OR(J311="",H311="",K311=""),"",SQRT(J311*1000000000*(1-K311)/(H311*(1+K311)*(1-2*K311))))</x:f>
        <x:v>1301.582746911937</x:v>
      </x:c>
      <x:c r="O311" s="75" t="n">
        <x:f>IF(OR(H311="",N311=""),"",H311*N311/1000000)</x:f>
        <x:v>1.1063453348751464</x:v>
      </x:c>
      <x:c r="P311" s="74" t="n">
        <x:f>IF(OR(J311="",G311="",K311=""),"",J311*1000000000*(G311/1000)^3/(12*(1-K311^2)))</x:f>
        <x:v>106.66666666666669</x:v>
      </x:c>
      <x:c r="Q311" s="76" t="n">
        <x:f>IF(OR(I311="",P311=""),"",343.2^2/(2*PI())*SQRT(I311/P311))</x:f>
        <x:v>5291.877606815476</x:v>
      </x:c>
      <x:c r="R311" s="58"/>
      <x:c r="S311" s="62" t="n">
        <x:v>0.25</x:v>
      </x:c>
      <x:c r="T311" s="46" t="str">
        <x:v>20 °C / kuru nominal</x:v>
      </x:c>
      <x:c r="U311" s="46" t="str">
        <x:v>DÜŞÜK-ORTA</x:v>
      </x:c>
      <x:c r="V311" s="46" t="str"/>
      <x:c r="W311" s="50" t="str">
        <x:v>Karışım, su/bağlayıcı oranı, kür, nem ve altlığa göre geniş değişim; proje ürünüyle kalibre edin.</x:v>
      </x:c>
    </x:row>
    <x:row r="312">
      <x:c r="A312" s="46" t="str">
        <x:v>PL-GYPS-PERLITE-15</x:v>
      </x:c>
      <x:c r="B312" s="46" t="str">
        <x:v>Sıva / kaplama</x:v>
      </x:c>
      <x:c r="C312" s="46" t="str">
        <x:v>Perlitli hafif alçı sıva</x:v>
      </x:c>
      <x:c r="D312" s="46" t="str">
        <x:v>GENERIC</x:v>
      </x:c>
      <x:c r="E312" s="46" t="str">
        <x:v>GYPS-PERLITE</x:v>
      </x:c>
      <x:c r="F312" s="70" t="str">
        <x:v>ENGINEERING_DEFAULT</x:v>
      </x:c>
      <x:c r="G312" s="54" t="n">
        <x:v>15</x:v>
      </x:c>
      <x:c r="H312" s="54" t="n">
        <x:v>850</x:v>
      </x:c>
      <x:c r="I312" s="74" t="n">
        <x:f>IF(OR(G312="",H312=""),"",G312/1000*H312)</x:f>
        <x:v>12.75</x:v>
      </x:c>
      <x:c r="J312" s="75" t="n">
        <x:v>1.2</x:v>
      </x:c>
      <x:c r="K312" s="75" t="n">
        <x:v>0.25</x:v>
      </x:c>
      <x:c r="L312" s="75" t="n">
        <x:v>0.03</x:v>
      </x:c>
      <x:c r="M312" s="75" t="n">
        <x:f>IF(OR(J312="",K312=""),"",J312/(2*(1+K312)))</x:f>
        <x:v>0.48</x:v>
      </x:c>
      <x:c r="N312" s="76" t="n">
        <x:f>IF(OR(J312="",H312="",K312=""),"",SQRT(J312*1000000000*(1-K312)/(H312*(1+K312)*(1-2*K312))))</x:f>
        <x:v>1301.582746911937</x:v>
      </x:c>
      <x:c r="O312" s="75" t="n">
        <x:f>IF(OR(H312="",N312=""),"",H312*N312/1000000)</x:f>
        <x:v>1.1063453348751464</x:v>
      </x:c>
      <x:c r="P312" s="74" t="n">
        <x:f>IF(OR(J312="",G312="",K312=""),"",J312*1000000000*(G312/1000)^3/(12*(1-K312^2)))</x:f>
        <x:v>360</x:v>
      </x:c>
      <x:c r="Q312" s="76" t="n">
        <x:f>IF(OR(I312="",P312=""),"",343.2^2/(2*PI())*SQRT(I312/P312))</x:f>
        <x:v>3527.9184045436505</x:v>
      </x:c>
      <x:c r="R312" s="58"/>
      <x:c r="S312" s="62" t="n">
        <x:v>0.25</x:v>
      </x:c>
      <x:c r="T312" s="46" t="str">
        <x:v>20 °C / kuru nominal</x:v>
      </x:c>
      <x:c r="U312" s="46" t="str">
        <x:v>DÜŞÜK-ORTA</x:v>
      </x:c>
      <x:c r="V312" s="46" t="str"/>
      <x:c r="W312" s="50" t="str">
        <x:v>Karışım, su/bağlayıcı oranı, kür, nem ve altlığa göre geniş değişim; proje ürünüyle kalibre edin.</x:v>
      </x:c>
    </x:row>
    <x:row r="313">
      <x:c r="A313" s="46" t="str">
        <x:v>PL-GYPS-PERLITE-20</x:v>
      </x:c>
      <x:c r="B313" s="46" t="str">
        <x:v>Sıva / kaplama</x:v>
      </x:c>
      <x:c r="C313" s="46" t="str">
        <x:v>Perlitli hafif alçı sıva</x:v>
      </x:c>
      <x:c r="D313" s="46" t="str">
        <x:v>GENERIC</x:v>
      </x:c>
      <x:c r="E313" s="46" t="str">
        <x:v>GYPS-PERLITE</x:v>
      </x:c>
      <x:c r="F313" s="70" t="str">
        <x:v>ENGINEERING_DEFAULT</x:v>
      </x:c>
      <x:c r="G313" s="54" t="n">
        <x:v>20</x:v>
      </x:c>
      <x:c r="H313" s="54" t="n">
        <x:v>850</x:v>
      </x:c>
      <x:c r="I313" s="74" t="n">
        <x:f>IF(OR(G313="",H313=""),"",G313/1000*H313)</x:f>
        <x:v>17</x:v>
      </x:c>
      <x:c r="J313" s="75" t="n">
        <x:v>1.2</x:v>
      </x:c>
      <x:c r="K313" s="75" t="n">
        <x:v>0.25</x:v>
      </x:c>
      <x:c r="L313" s="75" t="n">
        <x:v>0.03</x:v>
      </x:c>
      <x:c r="M313" s="75" t="n">
        <x:f>IF(OR(J313="",K313=""),"",J313/(2*(1+K313)))</x:f>
        <x:v>0.48</x:v>
      </x:c>
      <x:c r="N313" s="76" t="n">
        <x:f>IF(OR(J313="",H313="",K313=""),"",SQRT(J313*1000000000*(1-K313)/(H313*(1+K313)*(1-2*K313))))</x:f>
        <x:v>1301.582746911937</x:v>
      </x:c>
      <x:c r="O313" s="75" t="n">
        <x:f>IF(OR(H313="",N313=""),"",H313*N313/1000000)</x:f>
        <x:v>1.1063453348751464</x:v>
      </x:c>
      <x:c r="P313" s="74" t="n">
        <x:f>IF(OR(J313="",G313="",K313=""),"",J313*1000000000*(G313/1000)^3/(12*(1-K313^2)))</x:f>
        <x:v>853.3333333333335</x:v>
      </x:c>
      <x:c r="Q313" s="76" t="n">
        <x:f>IF(OR(I313="",P313=""),"",343.2^2/(2*PI())*SQRT(I313/P313))</x:f>
        <x:v>2645.938803407738</x:v>
      </x:c>
      <x:c r="R313" s="58"/>
      <x:c r="S313" s="62" t="n">
        <x:v>0.25</x:v>
      </x:c>
      <x:c r="T313" s="46" t="str">
        <x:v>20 °C / kuru nominal</x:v>
      </x:c>
      <x:c r="U313" s="46" t="str">
        <x:v>DÜŞÜK-ORTA</x:v>
      </x:c>
      <x:c r="V313" s="46" t="str"/>
      <x:c r="W313" s="50" t="str">
        <x:v>Karışım, su/bağlayıcı oranı, kür, nem ve altlığa göre geniş değişim; proje ürünüyle kalibre edin.</x:v>
      </x:c>
    </x:row>
    <x:row r="314">
      <x:c r="A314" s="46" t="str">
        <x:v>PL-GYPS-PERLITE-25</x:v>
      </x:c>
      <x:c r="B314" s="46" t="str">
        <x:v>Sıva / kaplama</x:v>
      </x:c>
      <x:c r="C314" s="46" t="str">
        <x:v>Perlitli hafif alçı sıva</x:v>
      </x:c>
      <x:c r="D314" s="46" t="str">
        <x:v>GENERIC</x:v>
      </x:c>
      <x:c r="E314" s="46" t="str">
        <x:v>GYPS-PERLITE</x:v>
      </x:c>
      <x:c r="F314" s="70" t="str">
        <x:v>ENGINEERING_DEFAULT</x:v>
      </x:c>
      <x:c r="G314" s="54" t="n">
        <x:v>25</x:v>
      </x:c>
      <x:c r="H314" s="54" t="n">
        <x:v>850</x:v>
      </x:c>
      <x:c r="I314" s="74" t="n">
        <x:f>IF(OR(G314="",H314=""),"",G314/1000*H314)</x:f>
        <x:v>21.25</x:v>
      </x:c>
      <x:c r="J314" s="75" t="n">
        <x:v>1.2</x:v>
      </x:c>
      <x:c r="K314" s="75" t="n">
        <x:v>0.25</x:v>
      </x:c>
      <x:c r="L314" s="75" t="n">
        <x:v>0.03</x:v>
      </x:c>
      <x:c r="M314" s="75" t="n">
        <x:f>IF(OR(J314="",K314=""),"",J314/(2*(1+K314)))</x:f>
        <x:v>0.48</x:v>
      </x:c>
      <x:c r="N314" s="76" t="n">
        <x:f>IF(OR(J314="",H314="",K314=""),"",SQRT(J314*1000000000*(1-K314)/(H314*(1+K314)*(1-2*K314))))</x:f>
        <x:v>1301.582746911937</x:v>
      </x:c>
      <x:c r="O314" s="75" t="n">
        <x:f>IF(OR(H314="",N314=""),"",H314*N314/1000000)</x:f>
        <x:v>1.1063453348751464</x:v>
      </x:c>
      <x:c r="P314" s="74" t="n">
        <x:f>IF(OR(J314="",G314="",K314=""),"",J314*1000000000*(G314/1000)^3/(12*(1-K314^2)))</x:f>
        <x:v>1666.666666666667</x:v>
      </x:c>
      <x:c r="Q314" s="76" t="n">
        <x:f>IF(OR(I314="",P314=""),"",343.2^2/(2*PI())*SQRT(I314/P314))</x:f>
        <x:v>2116.75104272619</x:v>
      </x:c>
      <x:c r="R314" s="58"/>
      <x:c r="S314" s="62" t="n">
        <x:v>0.25</x:v>
      </x:c>
      <x:c r="T314" s="46" t="str">
        <x:v>20 °C / kuru nominal</x:v>
      </x:c>
      <x:c r="U314" s="46" t="str">
        <x:v>DÜŞÜK-ORTA</x:v>
      </x:c>
      <x:c r="V314" s="46" t="str"/>
      <x:c r="W314" s="50" t="str">
        <x:v>Karışım, su/bağlayıcı oranı, kür, nem ve altlığa göre geniş değişim; proje ürünüyle kalibre edin.</x:v>
      </x:c>
    </x:row>
    <x:row r="315">
      <x:c r="A315" s="46" t="str">
        <x:v>PL-GYPS-MACHINE-5</x:v>
      </x:c>
      <x:c r="B315" s="46" t="str">
        <x:v>Sıva / kaplama</x:v>
      </x:c>
      <x:c r="C315" s="46" t="str">
        <x:v>Makine alçı sıvası</x:v>
      </x:c>
      <x:c r="D315" s="46" t="str">
        <x:v>GENERIC</x:v>
      </x:c>
      <x:c r="E315" s="46" t="str">
        <x:v>GYPS-MACHINE</x:v>
      </x:c>
      <x:c r="F315" s="70" t="str">
        <x:v>ENGINEERING_DEFAULT</x:v>
      </x:c>
      <x:c r="G315" s="54" t="n">
        <x:v>5</x:v>
      </x:c>
      <x:c r="H315" s="54" t="n">
        <x:v>1050</x:v>
      </x:c>
      <x:c r="I315" s="74" t="n">
        <x:f>IF(OR(G315="",H315=""),"",G315/1000*H315)</x:f>
        <x:v>5.25</x:v>
      </x:c>
      <x:c r="J315" s="75" t="n">
        <x:v>2</x:v>
      </x:c>
      <x:c r="K315" s="75" t="n">
        <x:v>0.25</x:v>
      </x:c>
      <x:c r="L315" s="75" t="n">
        <x:v>0.025</x:v>
      </x:c>
      <x:c r="M315" s="75" t="n">
        <x:f>IF(OR(J315="",K315=""),"",J315/(2*(1+K315)))</x:f>
        <x:v>0.8</x:v>
      </x:c>
      <x:c r="N315" s="76" t="n">
        <x:f>IF(OR(J315="",H315="",K315=""),"",SQRT(J315*1000000000*(1-K315)/(H315*(1+K315)*(1-2*K315))))</x:f>
        <x:v>1511.8578920369089</x:v>
      </x:c>
      <x:c r="O315" s="75" t="n">
        <x:f>IF(OR(H315="",N315=""),"",H315*N315/1000000)</x:f>
        <x:v>1.5874507866387544</x:v>
      </x:c>
      <x:c r="P315" s="74" t="n">
        <x:f>IF(OR(J315="",G315="",K315=""),"",J315*1000000000*(G315/1000)^3/(12*(1-K315^2)))</x:f>
        <x:v>22.222222222222225</x:v>
      </x:c>
      <x:c r="Q315" s="76" t="n">
        <x:f>IF(OR(I315="",P315=""),"",343.2^2/(2*PI())*SQRT(I315/P315))</x:f>
        <x:v>9111.72488906451</x:v>
      </x:c>
      <x:c r="R315" s="58"/>
      <x:c r="S315" s="62" t="n">
        <x:v>0.35</x:v>
      </x:c>
      <x:c r="T315" s="46" t="str">
        <x:v>20 °C / kuru nominal</x:v>
      </x:c>
      <x:c r="U315" s="46" t="str">
        <x:v>DÜŞÜK-ORTA</x:v>
      </x:c>
      <x:c r="V315" s="46" t="str"/>
      <x:c r="W315" s="50" t="str">
        <x:v>Karışım, su/bağlayıcı oranı, kür, nem ve altlığa göre geniş değişim; proje ürünüyle kalibre edin.</x:v>
      </x:c>
    </x:row>
    <x:row r="316">
      <x:c r="A316" s="46" t="str">
        <x:v>PL-GYPS-MACHINE-10</x:v>
      </x:c>
      <x:c r="B316" s="46" t="str">
        <x:v>Sıva / kaplama</x:v>
      </x:c>
      <x:c r="C316" s="46" t="str">
        <x:v>Makine alçı sıvası</x:v>
      </x:c>
      <x:c r="D316" s="46" t="str">
        <x:v>GENERIC</x:v>
      </x:c>
      <x:c r="E316" s="46" t="str">
        <x:v>GYPS-MACHINE</x:v>
      </x:c>
      <x:c r="F316" s="70" t="str">
        <x:v>ENGINEERING_DEFAULT</x:v>
      </x:c>
      <x:c r="G316" s="54" t="n">
        <x:v>10</x:v>
      </x:c>
      <x:c r="H316" s="54" t="n">
        <x:v>1050</x:v>
      </x:c>
      <x:c r="I316" s="74" t="n">
        <x:f>IF(OR(G316="",H316=""),"",G316/1000*H316)</x:f>
        <x:v>10.5</x:v>
      </x:c>
      <x:c r="J316" s="75" t="n">
        <x:v>2</x:v>
      </x:c>
      <x:c r="K316" s="75" t="n">
        <x:v>0.25</x:v>
      </x:c>
      <x:c r="L316" s="75" t="n">
        <x:v>0.025</x:v>
      </x:c>
      <x:c r="M316" s="75" t="n">
        <x:f>IF(OR(J316="",K316=""),"",J316/(2*(1+K316)))</x:f>
        <x:v>0.8</x:v>
      </x:c>
      <x:c r="N316" s="76" t="n">
        <x:f>IF(OR(J316="",H316="",K316=""),"",SQRT(J316*1000000000*(1-K316)/(H316*(1+K316)*(1-2*K316))))</x:f>
        <x:v>1511.8578920369089</x:v>
      </x:c>
      <x:c r="O316" s="75" t="n">
        <x:f>IF(OR(H316="",N316=""),"",H316*N316/1000000)</x:f>
        <x:v>1.5874507866387544</x:v>
      </x:c>
      <x:c r="P316" s="74" t="n">
        <x:f>IF(OR(J316="",G316="",K316=""),"",J316*1000000000*(G316/1000)^3/(12*(1-K316^2)))</x:f>
        <x:v>177.7777777777778</x:v>
      </x:c>
      <x:c r="Q316" s="76" t="n">
        <x:f>IF(OR(I316="",P316=""),"",343.2^2/(2*PI())*SQRT(I316/P316))</x:f>
        <x:v>4555.862444532255</x:v>
      </x:c>
      <x:c r="R316" s="58"/>
      <x:c r="S316" s="62" t="n">
        <x:v>0.35</x:v>
      </x:c>
      <x:c r="T316" s="46" t="str">
        <x:v>20 °C / kuru nominal</x:v>
      </x:c>
      <x:c r="U316" s="46" t="str">
        <x:v>DÜŞÜK-ORTA</x:v>
      </x:c>
      <x:c r="V316" s="46" t="str"/>
      <x:c r="W316" s="50" t="str">
        <x:v>Karışım, su/bağlayıcı oranı, kür, nem ve altlığa göre geniş değişim; proje ürünüyle kalibre edin.</x:v>
      </x:c>
    </x:row>
    <x:row r="317">
      <x:c r="A317" s="46" t="str">
        <x:v>PL-GYPS-MACHINE-15</x:v>
      </x:c>
      <x:c r="B317" s="46" t="str">
        <x:v>Sıva / kaplama</x:v>
      </x:c>
      <x:c r="C317" s="46" t="str">
        <x:v>Makine alçı sıvası</x:v>
      </x:c>
      <x:c r="D317" s="46" t="str">
        <x:v>GENERIC</x:v>
      </x:c>
      <x:c r="E317" s="46" t="str">
        <x:v>GYPS-MACHINE</x:v>
      </x:c>
      <x:c r="F317" s="70" t="str">
        <x:v>ENGINEERING_DEFAULT</x:v>
      </x:c>
      <x:c r="G317" s="54" t="n">
        <x:v>15</x:v>
      </x:c>
      <x:c r="H317" s="54" t="n">
        <x:v>1050</x:v>
      </x:c>
      <x:c r="I317" s="74" t="n">
        <x:f>IF(OR(G317="",H317=""),"",G317/1000*H317)</x:f>
        <x:v>15.75</x:v>
      </x:c>
      <x:c r="J317" s="75" t="n">
        <x:v>2</x:v>
      </x:c>
      <x:c r="K317" s="75" t="n">
        <x:v>0.25</x:v>
      </x:c>
      <x:c r="L317" s="75" t="n">
        <x:v>0.025</x:v>
      </x:c>
      <x:c r="M317" s="75" t="n">
        <x:f>IF(OR(J317="",K317=""),"",J317/(2*(1+K317)))</x:f>
        <x:v>0.8</x:v>
      </x:c>
      <x:c r="N317" s="76" t="n">
        <x:f>IF(OR(J317="",H317="",K317=""),"",SQRT(J317*1000000000*(1-K317)/(H317*(1+K317)*(1-2*K317))))</x:f>
        <x:v>1511.8578920369089</x:v>
      </x:c>
      <x:c r="O317" s="75" t="n">
        <x:f>IF(OR(H317="",N317=""),"",H317*N317/1000000)</x:f>
        <x:v>1.5874507866387544</x:v>
      </x:c>
      <x:c r="P317" s="74" t="n">
        <x:f>IF(OR(J317="",G317="",K317=""),"",J317*1000000000*(G317/1000)^3/(12*(1-K317^2)))</x:f>
        <x:v>600</x:v>
      </x:c>
      <x:c r="Q317" s="76" t="n">
        <x:f>IF(OR(I317="",P317=""),"",343.2^2/(2*PI())*SQRT(I317/P317))</x:f>
        <x:v>3037.24162968817</x:v>
      </x:c>
      <x:c r="R317" s="58"/>
      <x:c r="S317" s="62" t="n">
        <x:v>0.35</x:v>
      </x:c>
      <x:c r="T317" s="46" t="str">
        <x:v>20 °C / kuru nominal</x:v>
      </x:c>
      <x:c r="U317" s="46" t="str">
        <x:v>DÜŞÜK-ORTA</x:v>
      </x:c>
      <x:c r="V317" s="46" t="str"/>
      <x:c r="W317" s="50" t="str">
        <x:v>Karışım, su/bağlayıcı oranı, kür, nem ve altlığa göre geniş değişim; proje ürünüyle kalibre edin.</x:v>
      </x:c>
    </x:row>
    <x:row r="318">
      <x:c r="A318" s="46" t="str">
        <x:v>PL-GYPS-MACHINE-20</x:v>
      </x:c>
      <x:c r="B318" s="46" t="str">
        <x:v>Sıva / kaplama</x:v>
      </x:c>
      <x:c r="C318" s="46" t="str">
        <x:v>Makine alçı sıvası</x:v>
      </x:c>
      <x:c r="D318" s="46" t="str">
        <x:v>GENERIC</x:v>
      </x:c>
      <x:c r="E318" s="46" t="str">
        <x:v>GYPS-MACHINE</x:v>
      </x:c>
      <x:c r="F318" s="70" t="str">
        <x:v>ENGINEERING_DEFAULT</x:v>
      </x:c>
      <x:c r="G318" s="54" t="n">
        <x:v>20</x:v>
      </x:c>
      <x:c r="H318" s="54" t="n">
        <x:v>1050</x:v>
      </x:c>
      <x:c r="I318" s="74" t="n">
        <x:f>IF(OR(G318="",H318=""),"",G318/1000*H318)</x:f>
        <x:v>21</x:v>
      </x:c>
      <x:c r="J318" s="75" t="n">
        <x:v>2</x:v>
      </x:c>
      <x:c r="K318" s="75" t="n">
        <x:v>0.25</x:v>
      </x:c>
      <x:c r="L318" s="75" t="n">
        <x:v>0.025</x:v>
      </x:c>
      <x:c r="M318" s="75" t="n">
        <x:f>IF(OR(J318="",K318=""),"",J318/(2*(1+K318)))</x:f>
        <x:v>0.8</x:v>
      </x:c>
      <x:c r="N318" s="76" t="n">
        <x:f>IF(OR(J318="",H318="",K318=""),"",SQRT(J318*1000000000*(1-K318)/(H318*(1+K318)*(1-2*K318))))</x:f>
        <x:v>1511.8578920369089</x:v>
      </x:c>
      <x:c r="O318" s="75" t="n">
        <x:f>IF(OR(H318="",N318=""),"",H318*N318/1000000)</x:f>
        <x:v>1.5874507866387544</x:v>
      </x:c>
      <x:c r="P318" s="74" t="n">
        <x:f>IF(OR(J318="",G318="",K318=""),"",J318*1000000000*(G318/1000)^3/(12*(1-K318^2)))</x:f>
        <x:v>1422.2222222222224</x:v>
      </x:c>
      <x:c r="Q318" s="76" t="n">
        <x:f>IF(OR(I318="",P318=""),"",343.2^2/(2*PI())*SQRT(I318/P318))</x:f>
        <x:v>2277.9312222661274</x:v>
      </x:c>
      <x:c r="R318" s="58"/>
      <x:c r="S318" s="62" t="n">
        <x:v>0.35</x:v>
      </x:c>
      <x:c r="T318" s="46" t="str">
        <x:v>20 °C / kuru nominal</x:v>
      </x:c>
      <x:c r="U318" s="46" t="str">
        <x:v>DÜŞÜK-ORTA</x:v>
      </x:c>
      <x:c r="V318" s="46" t="str"/>
      <x:c r="W318" s="50" t="str">
        <x:v>Karışım, su/bağlayıcı oranı, kür, nem ve altlığa göre geniş değişim; proje ürünüyle kalibre edin.</x:v>
      </x:c>
    </x:row>
    <x:row r="319">
      <x:c r="A319" s="46" t="str">
        <x:v>PL-GYPS-MACHINE-25</x:v>
      </x:c>
      <x:c r="B319" s="46" t="str">
        <x:v>Sıva / kaplama</x:v>
      </x:c>
      <x:c r="C319" s="46" t="str">
        <x:v>Makine alçı sıvası</x:v>
      </x:c>
      <x:c r="D319" s="46" t="str">
        <x:v>GENERIC</x:v>
      </x:c>
      <x:c r="E319" s="46" t="str">
        <x:v>GYPS-MACHINE</x:v>
      </x:c>
      <x:c r="F319" s="70" t="str">
        <x:v>ENGINEERING_DEFAULT</x:v>
      </x:c>
      <x:c r="G319" s="54" t="n">
        <x:v>25</x:v>
      </x:c>
      <x:c r="H319" s="54" t="n">
        <x:v>1050</x:v>
      </x:c>
      <x:c r="I319" s="74" t="n">
        <x:f>IF(OR(G319="",H319=""),"",G319/1000*H319)</x:f>
        <x:v>26.25</x:v>
      </x:c>
      <x:c r="J319" s="75" t="n">
        <x:v>2</x:v>
      </x:c>
      <x:c r="K319" s="75" t="n">
        <x:v>0.25</x:v>
      </x:c>
      <x:c r="L319" s="75" t="n">
        <x:v>0.025</x:v>
      </x:c>
      <x:c r="M319" s="75" t="n">
        <x:f>IF(OR(J319="",K319=""),"",J319/(2*(1+K319)))</x:f>
        <x:v>0.8</x:v>
      </x:c>
      <x:c r="N319" s="76" t="n">
        <x:f>IF(OR(J319="",H319="",K319=""),"",SQRT(J319*1000000000*(1-K319)/(H319*(1+K319)*(1-2*K319))))</x:f>
        <x:v>1511.8578920369089</x:v>
      </x:c>
      <x:c r="O319" s="75" t="n">
        <x:f>IF(OR(H319="",N319=""),"",H319*N319/1000000)</x:f>
        <x:v>1.5874507866387544</x:v>
      </x:c>
      <x:c r="P319" s="74" t="n">
        <x:f>IF(OR(J319="",G319="",K319=""),"",J319*1000000000*(G319/1000)^3/(12*(1-K319^2)))</x:f>
        <x:v>2777.7777777777783</x:v>
      </x:c>
      <x:c r="Q319" s="76" t="n">
        <x:f>IF(OR(I319="",P319=""),"",343.2^2/(2*PI())*SQRT(I319/P319))</x:f>
        <x:v>1822.344977812902</x:v>
      </x:c>
      <x:c r="R319" s="58"/>
      <x:c r="S319" s="62" t="n">
        <x:v>0.35</x:v>
      </x:c>
      <x:c r="T319" s="46" t="str">
        <x:v>20 °C / kuru nominal</x:v>
      </x:c>
      <x:c r="U319" s="46" t="str">
        <x:v>DÜŞÜK-ORTA</x:v>
      </x:c>
      <x:c r="V319" s="46" t="str"/>
      <x:c r="W319" s="50" t="str">
        <x:v>Karışım, su/bağlayıcı oranı, kür, nem ve altlığa göre geniş değişim; proje ürünüyle kalibre edin.</x:v>
      </x:c>
    </x:row>
    <x:row r="320">
      <x:c r="A320" s="46" t="str">
        <x:v>PL-GYPS-HARD-5</x:v>
      </x:c>
      <x:c r="B320" s="46" t="str">
        <x:v>Sıva / kaplama</x:v>
      </x:c>
      <x:c r="C320" s="46" t="str">
        <x:v>Sert alçı sıva</x:v>
      </x:c>
      <x:c r="D320" s="46" t="str">
        <x:v>GENERIC</x:v>
      </x:c>
      <x:c r="E320" s="46" t="str">
        <x:v>GYPS-HARD</x:v>
      </x:c>
      <x:c r="F320" s="70" t="str">
        <x:v>ENGINEERING_DEFAULT</x:v>
      </x:c>
      <x:c r="G320" s="54" t="n">
        <x:v>5</x:v>
      </x:c>
      <x:c r="H320" s="54" t="n">
        <x:v>1200</x:v>
      </x:c>
      <x:c r="I320" s="74" t="n">
        <x:f>IF(OR(G320="",H320=""),"",G320/1000*H320)</x:f>
        <x:v>6</x:v>
      </x:c>
      <x:c r="J320" s="75" t="n">
        <x:v>3</x:v>
      </x:c>
      <x:c r="K320" s="75" t="n">
        <x:v>0.25</x:v>
      </x:c>
      <x:c r="L320" s="75" t="n">
        <x:v>0.02</x:v>
      </x:c>
      <x:c r="M320" s="75" t="n">
        <x:f>IF(OR(J320="",K320=""),"",J320/(2*(1+K320)))</x:f>
        <x:v>1.2</x:v>
      </x:c>
      <x:c r="N320" s="76" t="n">
        <x:f>IF(OR(J320="",H320="",K320=""),"",SQRT(J320*1000000000*(1-K320)/(H320*(1+K320)*(1-2*K320))))</x:f>
        <x:v>1732.0508075688772</x:v>
      </x:c>
      <x:c r="O320" s="75" t="n">
        <x:f>IF(OR(H320="",N320=""),"",H320*N320/1000000)</x:f>
        <x:v>2.0784609690826525</x:v>
      </x:c>
      <x:c r="P320" s="74" t="n">
        <x:f>IF(OR(J320="",G320="",K320=""),"",J320*1000000000*(G320/1000)^3/(12*(1-K320^2)))</x:f>
        <x:v>33.333333333333336</x:v>
      </x:c>
      <x:c r="Q320" s="76" t="n">
        <x:f>IF(OR(I320="",P320=""),"",343.2^2/(2*PI())*SQRT(I320/P320))</x:f>
        <x:v>7953.365526809757</x:v>
      </x:c>
      <x:c r="R320" s="58"/>
      <x:c r="S320" s="62" t="n">
        <x:v>0.4</x:v>
      </x:c>
      <x:c r="T320" s="46" t="str">
        <x:v>20 °C / kuru nominal</x:v>
      </x:c>
      <x:c r="U320" s="46" t="str">
        <x:v>DÜŞÜK-ORTA</x:v>
      </x:c>
      <x:c r="V320" s="46" t="str"/>
      <x:c r="W320" s="50" t="str">
        <x:v>Karışım, su/bağlayıcı oranı, kür, nem ve altlığa göre geniş değişim; proje ürünüyle kalibre edin.</x:v>
      </x:c>
    </x:row>
    <x:row r="321">
      <x:c r="A321" s="46" t="str">
        <x:v>PL-GYPS-HARD-10</x:v>
      </x:c>
      <x:c r="B321" s="46" t="str">
        <x:v>Sıva / kaplama</x:v>
      </x:c>
      <x:c r="C321" s="46" t="str">
        <x:v>Sert alçı sıva</x:v>
      </x:c>
      <x:c r="D321" s="46" t="str">
        <x:v>GENERIC</x:v>
      </x:c>
      <x:c r="E321" s="46" t="str">
        <x:v>GYPS-HARD</x:v>
      </x:c>
      <x:c r="F321" s="70" t="str">
        <x:v>ENGINEERING_DEFAULT</x:v>
      </x:c>
      <x:c r="G321" s="54" t="n">
        <x:v>10</x:v>
      </x:c>
      <x:c r="H321" s="54" t="n">
        <x:v>1200</x:v>
      </x:c>
      <x:c r="I321" s="74" t="n">
        <x:f>IF(OR(G321="",H321=""),"",G321/1000*H321)</x:f>
        <x:v>12</x:v>
      </x:c>
      <x:c r="J321" s="75" t="n">
        <x:v>3</x:v>
      </x:c>
      <x:c r="K321" s="75" t="n">
        <x:v>0.25</x:v>
      </x:c>
      <x:c r="L321" s="75" t="n">
        <x:v>0.02</x:v>
      </x:c>
      <x:c r="M321" s="75" t="n">
        <x:f>IF(OR(J321="",K321=""),"",J321/(2*(1+K321)))</x:f>
        <x:v>1.2</x:v>
      </x:c>
      <x:c r="N321" s="76" t="n">
        <x:f>IF(OR(J321="",H321="",K321=""),"",SQRT(J321*1000000000*(1-K321)/(H321*(1+K321)*(1-2*K321))))</x:f>
        <x:v>1732.0508075688772</x:v>
      </x:c>
      <x:c r="O321" s="75" t="n">
        <x:f>IF(OR(H321="",N321=""),"",H321*N321/1000000)</x:f>
        <x:v>2.0784609690826525</x:v>
      </x:c>
      <x:c r="P321" s="74" t="n">
        <x:f>IF(OR(J321="",G321="",K321=""),"",J321*1000000000*(G321/1000)^3/(12*(1-K321^2)))</x:f>
        <x:v>266.6666666666667</x:v>
      </x:c>
      <x:c r="Q321" s="76" t="n">
        <x:f>IF(OR(I321="",P321=""),"",343.2^2/(2*PI())*SQRT(I321/P321))</x:f>
        <x:v>3976.6827634048786</x:v>
      </x:c>
      <x:c r="R321" s="58"/>
      <x:c r="S321" s="62" t="n">
        <x:v>0.4</x:v>
      </x:c>
      <x:c r="T321" s="46" t="str">
        <x:v>20 °C / kuru nominal</x:v>
      </x:c>
      <x:c r="U321" s="46" t="str">
        <x:v>DÜŞÜK-ORTA</x:v>
      </x:c>
      <x:c r="V321" s="46" t="str"/>
      <x:c r="W321" s="50" t="str">
        <x:v>Karışım, su/bağlayıcı oranı, kür, nem ve altlığa göre geniş değişim; proje ürünüyle kalibre edin.</x:v>
      </x:c>
    </x:row>
    <x:row r="322">
      <x:c r="A322" s="46" t="str">
        <x:v>PL-GYPS-HARD-15</x:v>
      </x:c>
      <x:c r="B322" s="46" t="str">
        <x:v>Sıva / kaplama</x:v>
      </x:c>
      <x:c r="C322" s="46" t="str">
        <x:v>Sert alçı sıva</x:v>
      </x:c>
      <x:c r="D322" s="46" t="str">
        <x:v>GENERIC</x:v>
      </x:c>
      <x:c r="E322" s="46" t="str">
        <x:v>GYPS-HARD</x:v>
      </x:c>
      <x:c r="F322" s="70" t="str">
        <x:v>ENGINEERING_DEFAULT</x:v>
      </x:c>
      <x:c r="G322" s="54" t="n">
        <x:v>15</x:v>
      </x:c>
      <x:c r="H322" s="54" t="n">
        <x:v>1200</x:v>
      </x:c>
      <x:c r="I322" s="74" t="n">
        <x:f>IF(OR(G322="",H322=""),"",G322/1000*H322)</x:f>
        <x:v>18</x:v>
      </x:c>
      <x:c r="J322" s="75" t="n">
        <x:v>3</x:v>
      </x:c>
      <x:c r="K322" s="75" t="n">
        <x:v>0.25</x:v>
      </x:c>
      <x:c r="L322" s="75" t="n">
        <x:v>0.02</x:v>
      </x:c>
      <x:c r="M322" s="75" t="n">
        <x:f>IF(OR(J322="",K322=""),"",J322/(2*(1+K322)))</x:f>
        <x:v>1.2</x:v>
      </x:c>
      <x:c r="N322" s="76" t="n">
        <x:f>IF(OR(J322="",H322="",K322=""),"",SQRT(J322*1000000000*(1-K322)/(H322*(1+K322)*(1-2*K322))))</x:f>
        <x:v>1732.0508075688772</x:v>
      </x:c>
      <x:c r="O322" s="75" t="n">
        <x:f>IF(OR(H322="",N322=""),"",H322*N322/1000000)</x:f>
        <x:v>2.0784609690826525</x:v>
      </x:c>
      <x:c r="P322" s="74" t="n">
        <x:f>IF(OR(J322="",G322="",K322=""),"",J322*1000000000*(G322/1000)^3/(12*(1-K322^2)))</x:f>
        <x:v>900</x:v>
      </x:c>
      <x:c r="Q322" s="76" t="n">
        <x:f>IF(OR(I322="",P322=""),"",343.2^2/(2*PI())*SQRT(I322/P322))</x:f>
        <x:v>2651.121842269919</x:v>
      </x:c>
      <x:c r="R322" s="58"/>
      <x:c r="S322" s="62" t="n">
        <x:v>0.4</x:v>
      </x:c>
      <x:c r="T322" s="46" t="str">
        <x:v>20 °C / kuru nominal</x:v>
      </x:c>
      <x:c r="U322" s="46" t="str">
        <x:v>DÜŞÜK-ORTA</x:v>
      </x:c>
      <x:c r="V322" s="46" t="str"/>
      <x:c r="W322" s="50" t="str">
        <x:v>Karışım, su/bağlayıcı oranı, kür, nem ve altlığa göre geniş değişim; proje ürünüyle kalibre edin.</x:v>
      </x:c>
    </x:row>
    <x:row r="323">
      <x:c r="A323" s="46" t="str">
        <x:v>PL-GYPS-HARD-20</x:v>
      </x:c>
      <x:c r="B323" s="46" t="str">
        <x:v>Sıva / kaplama</x:v>
      </x:c>
      <x:c r="C323" s="46" t="str">
        <x:v>Sert alçı sıva</x:v>
      </x:c>
      <x:c r="D323" s="46" t="str">
        <x:v>GENERIC</x:v>
      </x:c>
      <x:c r="E323" s="46" t="str">
        <x:v>GYPS-HARD</x:v>
      </x:c>
      <x:c r="F323" s="70" t="str">
        <x:v>ENGINEERING_DEFAULT</x:v>
      </x:c>
      <x:c r="G323" s="54" t="n">
        <x:v>20</x:v>
      </x:c>
      <x:c r="H323" s="54" t="n">
        <x:v>1200</x:v>
      </x:c>
      <x:c r="I323" s="74" t="n">
        <x:f>IF(OR(G323="",H323=""),"",G323/1000*H323)</x:f>
        <x:v>24</x:v>
      </x:c>
      <x:c r="J323" s="75" t="n">
        <x:v>3</x:v>
      </x:c>
      <x:c r="K323" s="75" t="n">
        <x:v>0.25</x:v>
      </x:c>
      <x:c r="L323" s="75" t="n">
        <x:v>0.02</x:v>
      </x:c>
      <x:c r="M323" s="75" t="n">
        <x:f>IF(OR(J323="",K323=""),"",J323/(2*(1+K323)))</x:f>
        <x:v>1.2</x:v>
      </x:c>
      <x:c r="N323" s="76" t="n">
        <x:f>IF(OR(J323="",H323="",K323=""),"",SQRT(J323*1000000000*(1-K323)/(H323*(1+K323)*(1-2*K323))))</x:f>
        <x:v>1732.0508075688772</x:v>
      </x:c>
      <x:c r="O323" s="75" t="n">
        <x:f>IF(OR(H323="",N323=""),"",H323*N323/1000000)</x:f>
        <x:v>2.0784609690826525</x:v>
      </x:c>
      <x:c r="P323" s="74" t="n">
        <x:f>IF(OR(J323="",G323="",K323=""),"",J323*1000000000*(G323/1000)^3/(12*(1-K323^2)))</x:f>
        <x:v>2133.3333333333335</x:v>
      </x:c>
      <x:c r="Q323" s="76" t="n">
        <x:f>IF(OR(I323="",P323=""),"",343.2^2/(2*PI())*SQRT(I323/P323))</x:f>
        <x:v>1988.3413817024393</x:v>
      </x:c>
      <x:c r="R323" s="58"/>
      <x:c r="S323" s="62" t="n">
        <x:v>0.4</x:v>
      </x:c>
      <x:c r="T323" s="46" t="str">
        <x:v>20 °C / kuru nominal</x:v>
      </x:c>
      <x:c r="U323" s="46" t="str">
        <x:v>DÜŞÜK-ORTA</x:v>
      </x:c>
      <x:c r="V323" s="46" t="str"/>
      <x:c r="W323" s="50" t="str">
        <x:v>Karışım, su/bağlayıcı oranı, kür, nem ve altlığa göre geniş değişim; proje ürünüyle kalibre edin.</x:v>
      </x:c>
    </x:row>
    <x:row r="324">
      <x:c r="A324" s="46" t="str">
        <x:v>PL-GYPS-SKIM-1</x:v>
      </x:c>
      <x:c r="B324" s="46" t="str">
        <x:v>Sıva / kaplama</x:v>
      </x:c>
      <x:c r="C324" s="46" t="str">
        <x:v>Saten / ince perdah alçısı</x:v>
      </x:c>
      <x:c r="D324" s="46" t="str">
        <x:v>GENERIC</x:v>
      </x:c>
      <x:c r="E324" s="46" t="str">
        <x:v>GYPS-SKIM</x:v>
      </x:c>
      <x:c r="F324" s="70" t="str">
        <x:v>ENGINEERING_DEFAULT</x:v>
      </x:c>
      <x:c r="G324" s="54" t="n">
        <x:v>1</x:v>
      </x:c>
      <x:c r="H324" s="54" t="n">
        <x:v>1000</x:v>
      </x:c>
      <x:c r="I324" s="74" t="n">
        <x:f>IF(OR(G324="",H324=""),"",G324/1000*H324)</x:f>
        <x:v>1</x:v>
      </x:c>
      <x:c r="J324" s="75" t="n">
        <x:v>2</x:v>
      </x:c>
      <x:c r="K324" s="75" t="n">
        <x:v>0.25</x:v>
      </x:c>
      <x:c r="L324" s="75" t="n">
        <x:v>0.025</x:v>
      </x:c>
      <x:c r="M324" s="75" t="n">
        <x:f>IF(OR(J324="",K324=""),"",J324/(2*(1+K324)))</x:f>
        <x:v>0.8</x:v>
      </x:c>
      <x:c r="N324" s="76" t="n">
        <x:f>IF(OR(J324="",H324="",K324=""),"",SQRT(J324*1000000000*(1-K324)/(H324*(1+K324)*(1-2*K324))))</x:f>
        <x:v>1549.1933384829667</x:v>
      </x:c>
      <x:c r="O324" s="75" t="n">
        <x:f>IF(OR(H324="",N324=""),"",H324*N324/1000000)</x:f>
        <x:v>1.5491933384829666</x:v>
      </x:c>
      <x:c r="P324" s="74" t="n">
        <x:f>IF(OR(J324="",G324="",K324=""),"",J324*1000000000*(G324/1000)^3/(12*(1-K324^2)))</x:f>
        <x:v>0.17777777777777778</x:v>
      </x:c>
      <x:c r="Q324" s="76" t="n">
        <x:f>IF(OR(I324="",P324=""),"",343.2^2/(2*PI())*SQRT(I324/P324))</x:f>
        <x:v>44460.66491962511</x:v>
      </x:c>
      <x:c r="R324" s="58"/>
      <x:c r="S324" s="62" t="n">
        <x:v>0.35</x:v>
      </x:c>
      <x:c r="T324" s="46" t="str">
        <x:v>20 °C / kuru nominal</x:v>
      </x:c>
      <x:c r="U324" s="46" t="str">
        <x:v>DÜŞÜK-ORTA</x:v>
      </x:c>
      <x:c r="V324" s="46" t="str"/>
      <x:c r="W324" s="50" t="str">
        <x:v>Karışım, su/bağlayıcı oranı, kür, nem ve altlığa göre geniş değişim; proje ürünüyle kalibre edin.</x:v>
      </x:c>
    </x:row>
    <x:row r="325">
      <x:c r="A325" s="46" t="str">
        <x:v>PL-GYPS-SKIM-2</x:v>
      </x:c>
      <x:c r="B325" s="46" t="str">
        <x:v>Sıva / kaplama</x:v>
      </x:c>
      <x:c r="C325" s="46" t="str">
        <x:v>Saten / ince perdah alçısı</x:v>
      </x:c>
      <x:c r="D325" s="46" t="str">
        <x:v>GENERIC</x:v>
      </x:c>
      <x:c r="E325" s="46" t="str">
        <x:v>GYPS-SKIM</x:v>
      </x:c>
      <x:c r="F325" s="70" t="str">
        <x:v>ENGINEERING_DEFAULT</x:v>
      </x:c>
      <x:c r="G325" s="54" t="n">
        <x:v>2</x:v>
      </x:c>
      <x:c r="H325" s="54" t="n">
        <x:v>1000</x:v>
      </x:c>
      <x:c r="I325" s="74" t="n">
        <x:f>IF(OR(G325="",H325=""),"",G325/1000*H325)</x:f>
        <x:v>2</x:v>
      </x:c>
      <x:c r="J325" s="75" t="n">
        <x:v>2</x:v>
      </x:c>
      <x:c r="K325" s="75" t="n">
        <x:v>0.25</x:v>
      </x:c>
      <x:c r="L325" s="75" t="n">
        <x:v>0.025</x:v>
      </x:c>
      <x:c r="M325" s="75" t="n">
        <x:f>IF(OR(J325="",K325=""),"",J325/(2*(1+K325)))</x:f>
        <x:v>0.8</x:v>
      </x:c>
      <x:c r="N325" s="76" t="n">
        <x:f>IF(OR(J325="",H325="",K325=""),"",SQRT(J325*1000000000*(1-K325)/(H325*(1+K325)*(1-2*K325))))</x:f>
        <x:v>1549.1933384829667</x:v>
      </x:c>
      <x:c r="O325" s="75" t="n">
        <x:f>IF(OR(H325="",N325=""),"",H325*N325/1000000)</x:f>
        <x:v>1.5491933384829666</x:v>
      </x:c>
      <x:c r="P325" s="74" t="n">
        <x:f>IF(OR(J325="",G325="",K325=""),"",J325*1000000000*(G325/1000)^3/(12*(1-K325^2)))</x:f>
        <x:v>1.4222222222222223</x:v>
      </x:c>
      <x:c r="Q325" s="76" t="n">
        <x:f>IF(OR(I325="",P325=""),"",343.2^2/(2*PI())*SQRT(I325/P325))</x:f>
        <x:v>22230.332459812555</x:v>
      </x:c>
      <x:c r="R325" s="58"/>
      <x:c r="S325" s="62" t="n">
        <x:v>0.35</x:v>
      </x:c>
      <x:c r="T325" s="46" t="str">
        <x:v>20 °C / kuru nominal</x:v>
      </x:c>
      <x:c r="U325" s="46" t="str">
        <x:v>DÜŞÜK-ORTA</x:v>
      </x:c>
      <x:c r="V325" s="46" t="str"/>
      <x:c r="W325" s="50" t="str">
        <x:v>Karışım, su/bağlayıcı oranı, kür, nem ve altlığa göre geniş değişim; proje ürünüyle kalibre edin.</x:v>
      </x:c>
    </x:row>
    <x:row r="326">
      <x:c r="A326" s="46" t="str">
        <x:v>PL-GYPS-SKIM-3</x:v>
      </x:c>
      <x:c r="B326" s="46" t="str">
        <x:v>Sıva / kaplama</x:v>
      </x:c>
      <x:c r="C326" s="46" t="str">
        <x:v>Saten / ince perdah alçısı</x:v>
      </x:c>
      <x:c r="D326" s="46" t="str">
        <x:v>GENERIC</x:v>
      </x:c>
      <x:c r="E326" s="46" t="str">
        <x:v>GYPS-SKIM</x:v>
      </x:c>
      <x:c r="F326" s="70" t="str">
        <x:v>ENGINEERING_DEFAULT</x:v>
      </x:c>
      <x:c r="G326" s="54" t="n">
        <x:v>3</x:v>
      </x:c>
      <x:c r="H326" s="54" t="n">
        <x:v>1000</x:v>
      </x:c>
      <x:c r="I326" s="74" t="n">
        <x:f>IF(OR(G326="",H326=""),"",G326/1000*H326)</x:f>
        <x:v>3</x:v>
      </x:c>
      <x:c r="J326" s="75" t="n">
        <x:v>2</x:v>
      </x:c>
      <x:c r="K326" s="75" t="n">
        <x:v>0.25</x:v>
      </x:c>
      <x:c r="L326" s="75" t="n">
        <x:v>0.025</x:v>
      </x:c>
      <x:c r="M326" s="75" t="n">
        <x:f>IF(OR(J326="",K326=""),"",J326/(2*(1+K326)))</x:f>
        <x:v>0.8</x:v>
      </x:c>
      <x:c r="N326" s="76" t="n">
        <x:f>IF(OR(J326="",H326="",K326=""),"",SQRT(J326*1000000000*(1-K326)/(H326*(1+K326)*(1-2*K326))))</x:f>
        <x:v>1549.1933384829667</x:v>
      </x:c>
      <x:c r="O326" s="75" t="n">
        <x:f>IF(OR(H326="",N326=""),"",H326*N326/1000000)</x:f>
        <x:v>1.5491933384829666</x:v>
      </x:c>
      <x:c r="P326" s="74" t="n">
        <x:f>IF(OR(J326="",G326="",K326=""),"",J326*1000000000*(G326/1000)^3/(12*(1-K326^2)))</x:f>
        <x:v>4.8</x:v>
      </x:c>
      <x:c r="Q326" s="76" t="n">
        <x:f>IF(OR(I326="",P326=""),"",343.2^2/(2*PI())*SQRT(I326/P326))</x:f>
        <x:v>14820.221639875037</x:v>
      </x:c>
      <x:c r="R326" s="58"/>
      <x:c r="S326" s="62" t="n">
        <x:v>0.35</x:v>
      </x:c>
      <x:c r="T326" s="46" t="str">
        <x:v>20 °C / kuru nominal</x:v>
      </x:c>
      <x:c r="U326" s="46" t="str">
        <x:v>DÜŞÜK-ORTA</x:v>
      </x:c>
      <x:c r="V326" s="46" t="str"/>
      <x:c r="W326" s="50" t="str">
        <x:v>Karışım, su/bağlayıcı oranı, kür, nem ve altlığa göre geniş değişim; proje ürünüyle kalibre edin.</x:v>
      </x:c>
    </x:row>
    <x:row r="327">
      <x:c r="A327" s="46" t="str">
        <x:v>PL-GYPS-SKIM-5</x:v>
      </x:c>
      <x:c r="B327" s="46" t="str">
        <x:v>Sıva / kaplama</x:v>
      </x:c>
      <x:c r="C327" s="46" t="str">
        <x:v>Saten / ince perdah alçısı</x:v>
      </x:c>
      <x:c r="D327" s="46" t="str">
        <x:v>GENERIC</x:v>
      </x:c>
      <x:c r="E327" s="46" t="str">
        <x:v>GYPS-SKIM</x:v>
      </x:c>
      <x:c r="F327" s="70" t="str">
        <x:v>ENGINEERING_DEFAULT</x:v>
      </x:c>
      <x:c r="G327" s="54" t="n">
        <x:v>5</x:v>
      </x:c>
      <x:c r="H327" s="54" t="n">
        <x:v>1000</x:v>
      </x:c>
      <x:c r="I327" s="74" t="n">
        <x:f>IF(OR(G327="",H327=""),"",G327/1000*H327)</x:f>
        <x:v>5</x:v>
      </x:c>
      <x:c r="J327" s="75" t="n">
        <x:v>2</x:v>
      </x:c>
      <x:c r="K327" s="75" t="n">
        <x:v>0.25</x:v>
      </x:c>
      <x:c r="L327" s="75" t="n">
        <x:v>0.025</x:v>
      </x:c>
      <x:c r="M327" s="75" t="n">
        <x:f>IF(OR(J327="",K327=""),"",J327/(2*(1+K327)))</x:f>
        <x:v>0.8</x:v>
      </x:c>
      <x:c r="N327" s="76" t="n">
        <x:f>IF(OR(J327="",H327="",K327=""),"",SQRT(J327*1000000000*(1-K327)/(H327*(1+K327)*(1-2*K327))))</x:f>
        <x:v>1549.1933384829667</x:v>
      </x:c>
      <x:c r="O327" s="75" t="n">
        <x:f>IF(OR(H327="",N327=""),"",H327*N327/1000000)</x:f>
        <x:v>1.5491933384829666</x:v>
      </x:c>
      <x:c r="P327" s="74" t="n">
        <x:f>IF(OR(J327="",G327="",K327=""),"",J327*1000000000*(G327/1000)^3/(12*(1-K327^2)))</x:f>
        <x:v>22.222222222222225</x:v>
      </x:c>
      <x:c r="Q327" s="76" t="n">
        <x:f>IF(OR(I327="",P327=""),"",343.2^2/(2*PI())*SQRT(I327/P327))</x:f>
        <x:v>8892.132983925021</x:v>
      </x:c>
      <x:c r="R327" s="58"/>
      <x:c r="S327" s="62" t="n">
        <x:v>0.35</x:v>
      </x:c>
      <x:c r="T327" s="46" t="str">
        <x:v>20 °C / kuru nominal</x:v>
      </x:c>
      <x:c r="U327" s="46" t="str">
        <x:v>DÜŞÜK-ORTA</x:v>
      </x:c>
      <x:c r="V327" s="46" t="str"/>
      <x:c r="W327" s="50" t="str">
        <x:v>Karışım, su/bağlayıcı oranı, kür, nem ve altlığa göre geniş değişim; proje ürünüyle kalibre edin.</x:v>
      </x:c>
    </x:row>
    <x:row r="328">
      <x:c r="A328" s="46" t="str">
        <x:v>PL-CEMENT-10</x:v>
      </x:c>
      <x:c r="B328" s="46" t="str">
        <x:v>Sıva / kaplama</x:v>
      </x:c>
      <x:c r="C328" s="46" t="str">
        <x:v>Çimento esaslı sıva</x:v>
      </x:c>
      <x:c r="D328" s="46" t="str">
        <x:v>GENERIC</x:v>
      </x:c>
      <x:c r="E328" s="46" t="str">
        <x:v>CEMENT</x:v>
      </x:c>
      <x:c r="F328" s="70" t="str">
        <x:v>ENGINEERING_DEFAULT</x:v>
      </x:c>
      <x:c r="G328" s="54" t="n">
        <x:v>10</x:v>
      </x:c>
      <x:c r="H328" s="54" t="n">
        <x:v>1900</x:v>
      </x:c>
      <x:c r="I328" s="74" t="n">
        <x:f>IF(OR(G328="",H328=""),"",G328/1000*H328)</x:f>
        <x:v>19</x:v>
      </x:c>
      <x:c r="J328" s="75" t="n">
        <x:v>15</x:v>
      </x:c>
      <x:c r="K328" s="75" t="n">
        <x:v>0.2</x:v>
      </x:c>
      <x:c r="L328" s="75" t="n">
        <x:v>0.015</x:v>
      </x:c>
      <x:c r="M328" s="75" t="n">
        <x:f>IF(OR(J328="",K328=""),"",J328/(2*(1+K328)))</x:f>
        <x:v>6.25</x:v>
      </x:c>
      <x:c r="N328" s="76" t="n">
        <x:f>IF(OR(J328="",H328="",K328=""),"",SQRT(J328*1000000000*(1-K328)/(H328*(1+K328)*(1-2*K328))))</x:f>
        <x:v>2961.744388795462</x:v>
      </x:c>
      <x:c r="O328" s="75" t="n">
        <x:f>IF(OR(H328="",N328=""),"",H328*N328/1000000)</x:f>
        <x:v>5.627314338711377</x:v>
      </x:c>
      <x:c r="P328" s="74" t="n">
        <x:f>IF(OR(J328="",G328="",K328=""),"",J328*1000000000*(G328/1000)^3/(12*(1-K328^2)))</x:f>
        <x:v>1302.0833333333335</x:v>
      </x:c>
      <x:c r="Q328" s="76" t="n">
        <x:f>IF(OR(I328="",P328=""),"",343.2^2/(2*PI())*SQRT(I328/P328))</x:f>
        <x:v>2264.498829246827</x:v>
      </x:c>
      <x:c r="R328" s="58"/>
      <x:c r="S328" s="62" t="n">
        <x:v>1</x:v>
      </x:c>
      <x:c r="T328" s="46" t="str">
        <x:v>20 °C / kuru nominal</x:v>
      </x:c>
      <x:c r="U328" s="46" t="str">
        <x:v>DÜŞÜK-ORTA</x:v>
      </x:c>
      <x:c r="V328" s="46" t="str"/>
      <x:c r="W328" s="50" t="str">
        <x:v>Karışım, su/bağlayıcı oranı, kür, nem ve altlığa göre geniş değişim; proje ürünüyle kalibre edin.</x:v>
      </x:c>
    </x:row>
    <x:row r="329">
      <x:c r="A329" s="46" t="str">
        <x:v>PL-CEMENT-15</x:v>
      </x:c>
      <x:c r="B329" s="46" t="str">
        <x:v>Sıva / kaplama</x:v>
      </x:c>
      <x:c r="C329" s="46" t="str">
        <x:v>Çimento esaslı sıva</x:v>
      </x:c>
      <x:c r="D329" s="46" t="str">
        <x:v>GENERIC</x:v>
      </x:c>
      <x:c r="E329" s="46" t="str">
        <x:v>CEMENT</x:v>
      </x:c>
      <x:c r="F329" s="70" t="str">
        <x:v>ENGINEERING_DEFAULT</x:v>
      </x:c>
      <x:c r="G329" s="54" t="n">
        <x:v>15</x:v>
      </x:c>
      <x:c r="H329" s="54" t="n">
        <x:v>1900</x:v>
      </x:c>
      <x:c r="I329" s="74" t="n">
        <x:f>IF(OR(G329="",H329=""),"",G329/1000*H329)</x:f>
        <x:v>28.5</x:v>
      </x:c>
      <x:c r="J329" s="75" t="n">
        <x:v>15</x:v>
      </x:c>
      <x:c r="K329" s="75" t="n">
        <x:v>0.2</x:v>
      </x:c>
      <x:c r="L329" s="75" t="n">
        <x:v>0.015</x:v>
      </x:c>
      <x:c r="M329" s="75" t="n">
        <x:f>IF(OR(J329="",K329=""),"",J329/(2*(1+K329)))</x:f>
        <x:v>6.25</x:v>
      </x:c>
      <x:c r="N329" s="76" t="n">
        <x:f>IF(OR(J329="",H329="",K329=""),"",SQRT(J329*1000000000*(1-K329)/(H329*(1+K329)*(1-2*K329))))</x:f>
        <x:v>2961.744388795462</x:v>
      </x:c>
      <x:c r="O329" s="75" t="n">
        <x:f>IF(OR(H329="",N329=""),"",H329*N329/1000000)</x:f>
        <x:v>5.627314338711377</x:v>
      </x:c>
      <x:c r="P329" s="74" t="n">
        <x:f>IF(OR(J329="",G329="",K329=""),"",J329*1000000000*(G329/1000)^3/(12*(1-K329^2)))</x:f>
        <x:v>4394.53125</x:v>
      </x:c>
      <x:c r="Q329" s="76" t="n">
        <x:f>IF(OR(I329="",P329=""),"",343.2^2/(2*PI())*SQRT(I329/P329))</x:f>
        <x:v>1509.6658861645512</x:v>
      </x:c>
      <x:c r="R329" s="58"/>
      <x:c r="S329" s="62" t="n">
        <x:v>1</x:v>
      </x:c>
      <x:c r="T329" s="46" t="str">
        <x:v>20 °C / kuru nominal</x:v>
      </x:c>
      <x:c r="U329" s="46" t="str">
        <x:v>DÜŞÜK-ORTA</x:v>
      </x:c>
      <x:c r="V329" s="46" t="str"/>
      <x:c r="W329" s="50" t="str">
        <x:v>Karışım, su/bağlayıcı oranı, kür, nem ve altlığa göre geniş değişim; proje ürünüyle kalibre edin.</x:v>
      </x:c>
    </x:row>
    <x:row r="330">
      <x:c r="A330" s="46" t="str">
        <x:v>PL-CEMENT-20</x:v>
      </x:c>
      <x:c r="B330" s="46" t="str">
        <x:v>Sıva / kaplama</x:v>
      </x:c>
      <x:c r="C330" s="46" t="str">
        <x:v>Çimento esaslı sıva</x:v>
      </x:c>
      <x:c r="D330" s="46" t="str">
        <x:v>GENERIC</x:v>
      </x:c>
      <x:c r="E330" s="46" t="str">
        <x:v>CEMENT</x:v>
      </x:c>
      <x:c r="F330" s="70" t="str">
        <x:v>ENGINEERING_DEFAULT</x:v>
      </x:c>
      <x:c r="G330" s="54" t="n">
        <x:v>20</x:v>
      </x:c>
      <x:c r="H330" s="54" t="n">
        <x:v>1900</x:v>
      </x:c>
      <x:c r="I330" s="74" t="n">
        <x:f>IF(OR(G330="",H330=""),"",G330/1000*H330)</x:f>
        <x:v>38</x:v>
      </x:c>
      <x:c r="J330" s="75" t="n">
        <x:v>15</x:v>
      </x:c>
      <x:c r="K330" s="75" t="n">
        <x:v>0.2</x:v>
      </x:c>
      <x:c r="L330" s="75" t="n">
        <x:v>0.015</x:v>
      </x:c>
      <x:c r="M330" s="75" t="n">
        <x:f>IF(OR(J330="",K330=""),"",J330/(2*(1+K330)))</x:f>
        <x:v>6.25</x:v>
      </x:c>
      <x:c r="N330" s="76" t="n">
        <x:f>IF(OR(J330="",H330="",K330=""),"",SQRT(J330*1000000000*(1-K330)/(H330*(1+K330)*(1-2*K330))))</x:f>
        <x:v>2961.744388795462</x:v>
      </x:c>
      <x:c r="O330" s="75" t="n">
        <x:f>IF(OR(H330="",N330=""),"",H330*N330/1000000)</x:f>
        <x:v>5.627314338711377</x:v>
      </x:c>
      <x:c r="P330" s="74" t="n">
        <x:f>IF(OR(J330="",G330="",K330=""),"",J330*1000000000*(G330/1000)^3/(12*(1-K330^2)))</x:f>
        <x:v>10416.666666666668</x:v>
      </x:c>
      <x:c r="Q330" s="76" t="n">
        <x:f>IF(OR(I330="",P330=""),"",343.2^2/(2*PI())*SQRT(I330/P330))</x:f>
        <x:v>1132.2494146234135</x:v>
      </x:c>
      <x:c r="R330" s="58"/>
      <x:c r="S330" s="62" t="n">
        <x:v>1</x:v>
      </x:c>
      <x:c r="T330" s="46" t="str">
        <x:v>20 °C / kuru nominal</x:v>
      </x:c>
      <x:c r="U330" s="46" t="str">
        <x:v>DÜŞÜK-ORTA</x:v>
      </x:c>
      <x:c r="V330" s="46" t="str"/>
      <x:c r="W330" s="50" t="str">
        <x:v>Karışım, su/bağlayıcı oranı, kür, nem ve altlığa göre geniş değişim; proje ürünüyle kalibre edin.</x:v>
      </x:c>
    </x:row>
    <x:row r="331">
      <x:c r="A331" s="46" t="str">
        <x:v>PL-CEMENT-25</x:v>
      </x:c>
      <x:c r="B331" s="46" t="str">
        <x:v>Sıva / kaplama</x:v>
      </x:c>
      <x:c r="C331" s="46" t="str">
        <x:v>Çimento esaslı sıva</x:v>
      </x:c>
      <x:c r="D331" s="46" t="str">
        <x:v>GENERIC</x:v>
      </x:c>
      <x:c r="E331" s="46" t="str">
        <x:v>CEMENT</x:v>
      </x:c>
      <x:c r="F331" s="70" t="str">
        <x:v>ENGINEERING_DEFAULT</x:v>
      </x:c>
      <x:c r="G331" s="54" t="n">
        <x:v>25</x:v>
      </x:c>
      <x:c r="H331" s="54" t="n">
        <x:v>1900</x:v>
      </x:c>
      <x:c r="I331" s="74" t="n">
        <x:f>IF(OR(G331="",H331=""),"",G331/1000*H331)</x:f>
        <x:v>47.5</x:v>
      </x:c>
      <x:c r="J331" s="75" t="n">
        <x:v>15</x:v>
      </x:c>
      <x:c r="K331" s="75" t="n">
        <x:v>0.2</x:v>
      </x:c>
      <x:c r="L331" s="75" t="n">
        <x:v>0.015</x:v>
      </x:c>
      <x:c r="M331" s="75" t="n">
        <x:f>IF(OR(J331="",K331=""),"",J331/(2*(1+K331)))</x:f>
        <x:v>6.25</x:v>
      </x:c>
      <x:c r="N331" s="76" t="n">
        <x:f>IF(OR(J331="",H331="",K331=""),"",SQRT(J331*1000000000*(1-K331)/(H331*(1+K331)*(1-2*K331))))</x:f>
        <x:v>2961.744388795462</x:v>
      </x:c>
      <x:c r="O331" s="75" t="n">
        <x:f>IF(OR(H331="",N331=""),"",H331*N331/1000000)</x:f>
        <x:v>5.627314338711377</x:v>
      </x:c>
      <x:c r="P331" s="74" t="n">
        <x:f>IF(OR(J331="",G331="",K331=""),"",J331*1000000000*(G331/1000)^3/(12*(1-K331^2)))</x:f>
        <x:v>20345.05208333334</x:v>
      </x:c>
      <x:c r="Q331" s="76" t="n">
        <x:f>IF(OR(I331="",P331=""),"",343.2^2/(2*PI())*SQRT(I331/P331))</x:f>
        <x:v>905.7995316987307</x:v>
      </x:c>
      <x:c r="R331" s="58"/>
      <x:c r="S331" s="62" t="n">
        <x:v>1</x:v>
      </x:c>
      <x:c r="T331" s="46" t="str">
        <x:v>20 °C / kuru nominal</x:v>
      </x:c>
      <x:c r="U331" s="46" t="str">
        <x:v>DÜŞÜK-ORTA</x:v>
      </x:c>
      <x:c r="V331" s="46" t="str"/>
      <x:c r="W331" s="50" t="str">
        <x:v>Karışım, su/bağlayıcı oranı, kür, nem ve altlığa göre geniş değişim; proje ürünüyle kalibre edin.</x:v>
      </x:c>
    </x:row>
    <x:row r="332">
      <x:c r="A332" s="46" t="str">
        <x:v>PL-CEMENT-30</x:v>
      </x:c>
      <x:c r="B332" s="46" t="str">
        <x:v>Sıva / kaplama</x:v>
      </x:c>
      <x:c r="C332" s="46" t="str">
        <x:v>Çimento esaslı sıva</x:v>
      </x:c>
      <x:c r="D332" s="46" t="str">
        <x:v>GENERIC</x:v>
      </x:c>
      <x:c r="E332" s="46" t="str">
        <x:v>CEMENT</x:v>
      </x:c>
      <x:c r="F332" s="70" t="str">
        <x:v>ENGINEERING_DEFAULT</x:v>
      </x:c>
      <x:c r="G332" s="54" t="n">
        <x:v>30</x:v>
      </x:c>
      <x:c r="H332" s="54" t="n">
        <x:v>1900</x:v>
      </x:c>
      <x:c r="I332" s="74" t="n">
        <x:f>IF(OR(G332="",H332=""),"",G332/1000*H332)</x:f>
        <x:v>57</x:v>
      </x:c>
      <x:c r="J332" s="75" t="n">
        <x:v>15</x:v>
      </x:c>
      <x:c r="K332" s="75" t="n">
        <x:v>0.2</x:v>
      </x:c>
      <x:c r="L332" s="75" t="n">
        <x:v>0.015</x:v>
      </x:c>
      <x:c r="M332" s="75" t="n">
        <x:f>IF(OR(J332="",K332=""),"",J332/(2*(1+K332)))</x:f>
        <x:v>6.25</x:v>
      </x:c>
      <x:c r="N332" s="76" t="n">
        <x:f>IF(OR(J332="",H332="",K332=""),"",SQRT(J332*1000000000*(1-K332)/(H332*(1+K332)*(1-2*K332))))</x:f>
        <x:v>2961.744388795462</x:v>
      </x:c>
      <x:c r="O332" s="75" t="n">
        <x:f>IF(OR(H332="",N332=""),"",H332*N332/1000000)</x:f>
        <x:v>5.627314338711377</x:v>
      </x:c>
      <x:c r="P332" s="74" t="n">
        <x:f>IF(OR(J332="",G332="",K332=""),"",J332*1000000000*(G332/1000)^3/(12*(1-K332^2)))</x:f>
        <x:v>35156.25</x:v>
      </x:c>
      <x:c r="Q332" s="76" t="n">
        <x:f>IF(OR(I332="",P332=""),"",343.2^2/(2*PI())*SQRT(I332/P332))</x:f>
        <x:v>754.8329430822756</x:v>
      </x:c>
      <x:c r="R332" s="58"/>
      <x:c r="S332" s="62" t="n">
        <x:v>1</x:v>
      </x:c>
      <x:c r="T332" s="46" t="str">
        <x:v>20 °C / kuru nominal</x:v>
      </x:c>
      <x:c r="U332" s="46" t="str">
        <x:v>DÜŞÜK-ORTA</x:v>
      </x:c>
      <x:c r="V332" s="46" t="str"/>
      <x:c r="W332" s="50" t="str">
        <x:v>Karışım, su/bağlayıcı oranı, kür, nem ve altlığa göre geniş değişim; proje ürünüyle kalibre edin.</x:v>
      </x:c>
    </x:row>
    <x:row r="333">
      <x:c r="A333" s="46" t="str">
        <x:v>PL-CEMENT-40</x:v>
      </x:c>
      <x:c r="B333" s="46" t="str">
        <x:v>Sıva / kaplama</x:v>
      </x:c>
      <x:c r="C333" s="46" t="str">
        <x:v>Çimento esaslı sıva</x:v>
      </x:c>
      <x:c r="D333" s="46" t="str">
        <x:v>GENERIC</x:v>
      </x:c>
      <x:c r="E333" s="46" t="str">
        <x:v>CEMENT</x:v>
      </x:c>
      <x:c r="F333" s="70" t="str">
        <x:v>ENGINEERING_DEFAULT</x:v>
      </x:c>
      <x:c r="G333" s="54" t="n">
        <x:v>40</x:v>
      </x:c>
      <x:c r="H333" s="54" t="n">
        <x:v>1900</x:v>
      </x:c>
      <x:c r="I333" s="74" t="n">
        <x:f>IF(OR(G333="",H333=""),"",G333/1000*H333)</x:f>
        <x:v>76</x:v>
      </x:c>
      <x:c r="J333" s="75" t="n">
        <x:v>15</x:v>
      </x:c>
      <x:c r="K333" s="75" t="n">
        <x:v>0.2</x:v>
      </x:c>
      <x:c r="L333" s="75" t="n">
        <x:v>0.015</x:v>
      </x:c>
      <x:c r="M333" s="75" t="n">
        <x:f>IF(OR(J333="",K333=""),"",J333/(2*(1+K333)))</x:f>
        <x:v>6.25</x:v>
      </x:c>
      <x:c r="N333" s="76" t="n">
        <x:f>IF(OR(J333="",H333="",K333=""),"",SQRT(J333*1000000000*(1-K333)/(H333*(1+K333)*(1-2*K333))))</x:f>
        <x:v>2961.744388795462</x:v>
      </x:c>
      <x:c r="O333" s="75" t="n">
        <x:f>IF(OR(H333="",N333=""),"",H333*N333/1000000)</x:f>
        <x:v>5.627314338711377</x:v>
      </x:c>
      <x:c r="P333" s="74" t="n">
        <x:f>IF(OR(J333="",G333="",K333=""),"",J333*1000000000*(G333/1000)^3/(12*(1-K333^2)))</x:f>
        <x:v>83333.33333333334</x:v>
      </x:c>
      <x:c r="Q333" s="76" t="n">
        <x:f>IF(OR(I333="",P333=""),"",343.2^2/(2*PI())*SQRT(I333/P333))</x:f>
        <x:v>566.1247073117067</x:v>
      </x:c>
      <x:c r="R333" s="58"/>
      <x:c r="S333" s="62" t="n">
        <x:v>1</x:v>
      </x:c>
      <x:c r="T333" s="46" t="str">
        <x:v>20 °C / kuru nominal</x:v>
      </x:c>
      <x:c r="U333" s="46" t="str">
        <x:v>DÜŞÜK-ORTA</x:v>
      </x:c>
      <x:c r="V333" s="46" t="str"/>
      <x:c r="W333" s="50" t="str">
        <x:v>Karışım, su/bağlayıcı oranı, kür, nem ve altlığa göre geniş değişim; proje ürünüyle kalibre edin.</x:v>
      </x:c>
    </x:row>
    <x:row r="334">
      <x:c r="A334" s="46" t="str">
        <x:v>PL-CEMENT-LIME-10</x:v>
      </x:c>
      <x:c r="B334" s="46" t="str">
        <x:v>Sıva / kaplama</x:v>
      </x:c>
      <x:c r="C334" s="46" t="str">
        <x:v>Çimento-kireç sıva</x:v>
      </x:c>
      <x:c r="D334" s="46" t="str">
        <x:v>GENERIC</x:v>
      </x:c>
      <x:c r="E334" s="46" t="str">
        <x:v>CEMENT-LIME</x:v>
      </x:c>
      <x:c r="F334" s="70" t="str">
        <x:v>ENGINEERING_DEFAULT</x:v>
      </x:c>
      <x:c r="G334" s="54" t="n">
        <x:v>10</x:v>
      </x:c>
      <x:c r="H334" s="54" t="n">
        <x:v>1700</x:v>
      </x:c>
      <x:c r="I334" s="74" t="n">
        <x:f>IF(OR(G334="",H334=""),"",G334/1000*H334)</x:f>
        <x:v>17</x:v>
      </x:c>
      <x:c r="J334" s="75" t="n">
        <x:v>8</x:v>
      </x:c>
      <x:c r="K334" s="75" t="n">
        <x:v>0.2</x:v>
      </x:c>
      <x:c r="L334" s="75" t="n">
        <x:v>0.02</x:v>
      </x:c>
      <x:c r="M334" s="75" t="n">
        <x:f>IF(OR(J334="",K334=""),"",J334/(2*(1+K334)))</x:f>
        <x:v>3.3333333333333335</x:v>
      </x:c>
      <x:c r="N334" s="76" t="n">
        <x:f>IF(OR(J334="",H334="",K334=""),"",SQRT(J334*1000000000*(1-K334)/(H334*(1+K334)*(1-2*K334))))</x:f>
        <x:v>2286.647801900118</x:v>
      </x:c>
      <x:c r="O334" s="75" t="n">
        <x:f>IF(OR(H334="",N334=""),"",H334*N334/1000000)</x:f>
        <x:v>3.8873012632302</x:v>
      </x:c>
      <x:c r="P334" s="74" t="n">
        <x:f>IF(OR(J334="",G334="",K334=""),"",J334*1000000000*(G334/1000)^3/(12*(1-K334^2)))</x:f>
        <x:v>694.4444444444446</x:v>
      </x:c>
      <x:c r="Q334" s="76" t="n">
        <x:f>IF(OR(I334="",P334=""),"",343.2^2/(2*PI())*SQRT(I334/P334))</x:f>
        <x:v>2933.056282380928</x:v>
      </x:c>
      <x:c r="R334" s="58"/>
      <x:c r="S334" s="62" t="n">
        <x:v>0.8</x:v>
      </x:c>
      <x:c r="T334" s="46" t="str">
        <x:v>20 °C / kuru nominal</x:v>
      </x:c>
      <x:c r="U334" s="46" t="str">
        <x:v>DÜŞÜK-ORTA</x:v>
      </x:c>
      <x:c r="V334" s="46" t="str"/>
      <x:c r="W334" s="50" t="str">
        <x:v>Karışım, su/bağlayıcı oranı, kür, nem ve altlığa göre geniş değişim; proje ürünüyle kalibre edin.</x:v>
      </x:c>
    </x:row>
    <x:row r="335">
      <x:c r="A335" s="46" t="str">
        <x:v>PL-CEMENT-LIME-15</x:v>
      </x:c>
      <x:c r="B335" s="46" t="str">
        <x:v>Sıva / kaplama</x:v>
      </x:c>
      <x:c r="C335" s="46" t="str">
        <x:v>Çimento-kireç sıva</x:v>
      </x:c>
      <x:c r="D335" s="46" t="str">
        <x:v>GENERIC</x:v>
      </x:c>
      <x:c r="E335" s="46" t="str">
        <x:v>CEMENT-LIME</x:v>
      </x:c>
      <x:c r="F335" s="70" t="str">
        <x:v>ENGINEERING_DEFAULT</x:v>
      </x:c>
      <x:c r="G335" s="54" t="n">
        <x:v>15</x:v>
      </x:c>
      <x:c r="H335" s="54" t="n">
        <x:v>1700</x:v>
      </x:c>
      <x:c r="I335" s="74" t="n">
        <x:f>IF(OR(G335="",H335=""),"",G335/1000*H335)</x:f>
        <x:v>25.5</x:v>
      </x:c>
      <x:c r="J335" s="75" t="n">
        <x:v>8</x:v>
      </x:c>
      <x:c r="K335" s="75" t="n">
        <x:v>0.2</x:v>
      </x:c>
      <x:c r="L335" s="75" t="n">
        <x:v>0.02</x:v>
      </x:c>
      <x:c r="M335" s="75" t="n">
        <x:f>IF(OR(J335="",K335=""),"",J335/(2*(1+K335)))</x:f>
        <x:v>3.3333333333333335</x:v>
      </x:c>
      <x:c r="N335" s="76" t="n">
        <x:f>IF(OR(J335="",H335="",K335=""),"",SQRT(J335*1000000000*(1-K335)/(H335*(1+K335)*(1-2*K335))))</x:f>
        <x:v>2286.647801900118</x:v>
      </x:c>
      <x:c r="O335" s="75" t="n">
        <x:f>IF(OR(H335="",N335=""),"",H335*N335/1000000)</x:f>
        <x:v>3.8873012632302</x:v>
      </x:c>
      <x:c r="P335" s="74" t="n">
        <x:f>IF(OR(J335="",G335="",K335=""),"",J335*1000000000*(G335/1000)^3/(12*(1-K335^2)))</x:f>
        <x:v>2343.75</x:v>
      </x:c>
      <x:c r="Q335" s="76" t="n">
        <x:f>IF(OR(I335="",P335=""),"",343.2^2/(2*PI())*SQRT(I335/P335))</x:f>
        <x:v>1955.3708549206194</x:v>
      </x:c>
      <x:c r="R335" s="58"/>
      <x:c r="S335" s="62" t="n">
        <x:v>0.8</x:v>
      </x:c>
      <x:c r="T335" s="46" t="str">
        <x:v>20 °C / kuru nominal</x:v>
      </x:c>
      <x:c r="U335" s="46" t="str">
        <x:v>DÜŞÜK-ORTA</x:v>
      </x:c>
      <x:c r="V335" s="46" t="str"/>
      <x:c r="W335" s="50" t="str">
        <x:v>Karışım, su/bağlayıcı oranı, kür, nem ve altlığa göre geniş değişim; proje ürünüyle kalibre edin.</x:v>
      </x:c>
    </x:row>
    <x:row r="336">
      <x:c r="A336" s="46" t="str">
        <x:v>PL-CEMENT-LIME-20</x:v>
      </x:c>
      <x:c r="B336" s="46" t="str">
        <x:v>Sıva / kaplama</x:v>
      </x:c>
      <x:c r="C336" s="46" t="str">
        <x:v>Çimento-kireç sıva</x:v>
      </x:c>
      <x:c r="D336" s="46" t="str">
        <x:v>GENERIC</x:v>
      </x:c>
      <x:c r="E336" s="46" t="str">
        <x:v>CEMENT-LIME</x:v>
      </x:c>
      <x:c r="F336" s="70" t="str">
        <x:v>ENGINEERING_DEFAULT</x:v>
      </x:c>
      <x:c r="G336" s="54" t="n">
        <x:v>20</x:v>
      </x:c>
      <x:c r="H336" s="54" t="n">
        <x:v>1700</x:v>
      </x:c>
      <x:c r="I336" s="74" t="n">
        <x:f>IF(OR(G336="",H336=""),"",G336/1000*H336)</x:f>
        <x:v>34</x:v>
      </x:c>
      <x:c r="J336" s="75" t="n">
        <x:v>8</x:v>
      </x:c>
      <x:c r="K336" s="75" t="n">
        <x:v>0.2</x:v>
      </x:c>
      <x:c r="L336" s="75" t="n">
        <x:v>0.02</x:v>
      </x:c>
      <x:c r="M336" s="75" t="n">
        <x:f>IF(OR(J336="",K336=""),"",J336/(2*(1+K336)))</x:f>
        <x:v>3.3333333333333335</x:v>
      </x:c>
      <x:c r="N336" s="76" t="n">
        <x:f>IF(OR(J336="",H336="",K336=""),"",SQRT(J336*1000000000*(1-K336)/(H336*(1+K336)*(1-2*K336))))</x:f>
        <x:v>2286.647801900118</x:v>
      </x:c>
      <x:c r="O336" s="75" t="n">
        <x:f>IF(OR(H336="",N336=""),"",H336*N336/1000000)</x:f>
        <x:v>3.8873012632302</x:v>
      </x:c>
      <x:c r="P336" s="74" t="n">
        <x:f>IF(OR(J336="",G336="",K336=""),"",J336*1000000000*(G336/1000)^3/(12*(1-K336^2)))</x:f>
        <x:v>5555.555555555557</x:v>
      </x:c>
      <x:c r="Q336" s="76" t="n">
        <x:f>IF(OR(I336="",P336=""),"",343.2^2/(2*PI())*SQRT(I336/P336))</x:f>
        <x:v>1466.528141190464</x:v>
      </x:c>
      <x:c r="R336" s="58"/>
      <x:c r="S336" s="62" t="n">
        <x:v>0.8</x:v>
      </x:c>
      <x:c r="T336" s="46" t="str">
        <x:v>20 °C / kuru nominal</x:v>
      </x:c>
      <x:c r="U336" s="46" t="str">
        <x:v>DÜŞÜK-ORTA</x:v>
      </x:c>
      <x:c r="V336" s="46" t="str"/>
      <x:c r="W336" s="50" t="str">
        <x:v>Karışım, su/bağlayıcı oranı, kür, nem ve altlığa göre geniş değişim; proje ürünüyle kalibre edin.</x:v>
      </x:c>
    </x:row>
    <x:row r="337">
      <x:c r="A337" s="46" t="str">
        <x:v>PL-CEMENT-LIME-25</x:v>
      </x:c>
      <x:c r="B337" s="46" t="str">
        <x:v>Sıva / kaplama</x:v>
      </x:c>
      <x:c r="C337" s="46" t="str">
        <x:v>Çimento-kireç sıva</x:v>
      </x:c>
      <x:c r="D337" s="46" t="str">
        <x:v>GENERIC</x:v>
      </x:c>
      <x:c r="E337" s="46" t="str">
        <x:v>CEMENT-LIME</x:v>
      </x:c>
      <x:c r="F337" s="70" t="str">
        <x:v>ENGINEERING_DEFAULT</x:v>
      </x:c>
      <x:c r="G337" s="54" t="n">
        <x:v>25</x:v>
      </x:c>
      <x:c r="H337" s="54" t="n">
        <x:v>1700</x:v>
      </x:c>
      <x:c r="I337" s="74" t="n">
        <x:f>IF(OR(G337="",H337=""),"",G337/1000*H337)</x:f>
        <x:v>42.5</x:v>
      </x:c>
      <x:c r="J337" s="75" t="n">
        <x:v>8</x:v>
      </x:c>
      <x:c r="K337" s="75" t="n">
        <x:v>0.2</x:v>
      </x:c>
      <x:c r="L337" s="75" t="n">
        <x:v>0.02</x:v>
      </x:c>
      <x:c r="M337" s="75" t="n">
        <x:f>IF(OR(J337="",K337=""),"",J337/(2*(1+K337)))</x:f>
        <x:v>3.3333333333333335</x:v>
      </x:c>
      <x:c r="N337" s="76" t="n">
        <x:f>IF(OR(J337="",H337="",K337=""),"",SQRT(J337*1000000000*(1-K337)/(H337*(1+K337)*(1-2*K337))))</x:f>
        <x:v>2286.647801900118</x:v>
      </x:c>
      <x:c r="O337" s="75" t="n">
        <x:f>IF(OR(H337="",N337=""),"",H337*N337/1000000)</x:f>
        <x:v>3.8873012632302</x:v>
      </x:c>
      <x:c r="P337" s="74" t="n">
        <x:f>IF(OR(J337="",G337="",K337=""),"",J337*1000000000*(G337/1000)^3/(12*(1-K337^2)))</x:f>
        <x:v>10850.694444444447</x:v>
      </x:c>
      <x:c r="Q337" s="76" t="n">
        <x:f>IF(OR(I337="",P337=""),"",343.2^2/(2*PI())*SQRT(I337/P337))</x:f>
        <x:v>1173.2225129523713</x:v>
      </x:c>
      <x:c r="R337" s="58"/>
      <x:c r="S337" s="62" t="n">
        <x:v>0.8</x:v>
      </x:c>
      <x:c r="T337" s="46" t="str">
        <x:v>20 °C / kuru nominal</x:v>
      </x:c>
      <x:c r="U337" s="46" t="str">
        <x:v>DÜŞÜK-ORTA</x:v>
      </x:c>
      <x:c r="V337" s="46" t="str"/>
      <x:c r="W337" s="50" t="str">
        <x:v>Karışım, su/bağlayıcı oranı, kür, nem ve altlığa göre geniş değişim; proje ürünüyle kalibre edin.</x:v>
      </x:c>
    </x:row>
    <x:row r="338">
      <x:c r="A338" s="46" t="str">
        <x:v>PL-CEMENT-LIME-30</x:v>
      </x:c>
      <x:c r="B338" s="46" t="str">
        <x:v>Sıva / kaplama</x:v>
      </x:c>
      <x:c r="C338" s="46" t="str">
        <x:v>Çimento-kireç sıva</x:v>
      </x:c>
      <x:c r="D338" s="46" t="str">
        <x:v>GENERIC</x:v>
      </x:c>
      <x:c r="E338" s="46" t="str">
        <x:v>CEMENT-LIME</x:v>
      </x:c>
      <x:c r="F338" s="70" t="str">
        <x:v>ENGINEERING_DEFAULT</x:v>
      </x:c>
      <x:c r="G338" s="54" t="n">
        <x:v>30</x:v>
      </x:c>
      <x:c r="H338" s="54" t="n">
        <x:v>1700</x:v>
      </x:c>
      <x:c r="I338" s="74" t="n">
        <x:f>IF(OR(G338="",H338=""),"",G338/1000*H338)</x:f>
        <x:v>51</x:v>
      </x:c>
      <x:c r="J338" s="75" t="n">
        <x:v>8</x:v>
      </x:c>
      <x:c r="K338" s="75" t="n">
        <x:v>0.2</x:v>
      </x:c>
      <x:c r="L338" s="75" t="n">
        <x:v>0.02</x:v>
      </x:c>
      <x:c r="M338" s="75" t="n">
        <x:f>IF(OR(J338="",K338=""),"",J338/(2*(1+K338)))</x:f>
        <x:v>3.3333333333333335</x:v>
      </x:c>
      <x:c r="N338" s="76" t="n">
        <x:f>IF(OR(J338="",H338="",K338=""),"",SQRT(J338*1000000000*(1-K338)/(H338*(1+K338)*(1-2*K338))))</x:f>
        <x:v>2286.647801900118</x:v>
      </x:c>
      <x:c r="O338" s="75" t="n">
        <x:f>IF(OR(H338="",N338=""),"",H338*N338/1000000)</x:f>
        <x:v>3.8873012632302</x:v>
      </x:c>
      <x:c r="P338" s="74" t="n">
        <x:f>IF(OR(J338="",G338="",K338=""),"",J338*1000000000*(G338/1000)^3/(12*(1-K338^2)))</x:f>
        <x:v>18750</x:v>
      </x:c>
      <x:c r="Q338" s="76" t="n">
        <x:f>IF(OR(I338="",P338=""),"",343.2^2/(2*PI())*SQRT(I338/P338))</x:f>
        <x:v>977.6854274603097</x:v>
      </x:c>
      <x:c r="R338" s="58"/>
      <x:c r="S338" s="62" t="n">
        <x:v>0.8</x:v>
      </x:c>
      <x:c r="T338" s="46" t="str">
        <x:v>20 °C / kuru nominal</x:v>
      </x:c>
      <x:c r="U338" s="46" t="str">
        <x:v>DÜŞÜK-ORTA</x:v>
      </x:c>
      <x:c r="V338" s="46" t="str"/>
      <x:c r="W338" s="50" t="str">
        <x:v>Karışım, su/bağlayıcı oranı, kür, nem ve altlığa göre geniş değişim; proje ürünüyle kalibre edin.</x:v>
      </x:c>
    </x:row>
    <x:row r="339">
      <x:c r="A339" s="46" t="str">
        <x:v>PL-LIME-10</x:v>
      </x:c>
      <x:c r="B339" s="46" t="str">
        <x:v>Sıva / kaplama</x:v>
      </x:c>
      <x:c r="C339" s="46" t="str">
        <x:v>Kireç sıva</x:v>
      </x:c>
      <x:c r="D339" s="46" t="str">
        <x:v>GENERIC</x:v>
      </x:c>
      <x:c r="E339" s="46" t="str">
        <x:v>LIME</x:v>
      </x:c>
      <x:c r="F339" s="70" t="str">
        <x:v>ENGINEERING_DEFAULT</x:v>
      </x:c>
      <x:c r="G339" s="54" t="n">
        <x:v>10</x:v>
      </x:c>
      <x:c r="H339" s="54" t="n">
        <x:v>1550</x:v>
      </x:c>
      <x:c r="I339" s="74" t="n">
        <x:f>IF(OR(G339="",H339=""),"",G339/1000*H339)</x:f>
        <x:v>15.5</x:v>
      </x:c>
      <x:c r="J339" s="75" t="n">
        <x:v>3</x:v>
      </x:c>
      <x:c r="K339" s="75" t="n">
        <x:v>0.22</x:v>
      </x:c>
      <x:c r="L339" s="75" t="n">
        <x:v>0.025</x:v>
      </x:c>
      <x:c r="M339" s="75" t="n">
        <x:f>IF(OR(J339="",K339=""),"",J339/(2*(1+K339)))</x:f>
        <x:v>1.2295081967213115</x:v>
      </x:c>
      <x:c r="N339" s="76" t="n">
        <x:f>IF(OR(J339="",H339="",K339=""),"",SQRT(J339*1000000000*(1-K339)/(H339*(1+K339)*(1-2*K339))))</x:f>
        <x:v>1486.5110804377168</x:v>
      </x:c>
      <x:c r="O339" s="75" t="n">
        <x:f>IF(OR(H339="",N339=""),"",H339*N339/1000000)</x:f>
        <x:v>2.3040921746784613</x:v>
      </x:c>
      <x:c r="P339" s="74" t="n">
        <x:f>IF(OR(J339="",G339="",K339=""),"",J339*1000000000*(G339/1000)^3/(12*(1-K339^2)))</x:f>
        <x:v>262.71542664985293</x:v>
      </x:c>
      <x:c r="Q339" s="76" t="n">
        <x:f>IF(OR(I339="",P339=""),"",343.2^2/(2*PI())*SQRT(I339/P339))</x:f>
        <x:v>4553.420426302958</x:v>
      </x:c>
      <x:c r="R339" s="58"/>
      <x:c r="S339" s="62" t="n">
        <x:v>0.7</x:v>
      </x:c>
      <x:c r="T339" s="46" t="str">
        <x:v>20 °C / kuru nominal</x:v>
      </x:c>
      <x:c r="U339" s="46" t="str">
        <x:v>DÜŞÜK-ORTA</x:v>
      </x:c>
      <x:c r="V339" s="46" t="str"/>
      <x:c r="W339" s="50" t="str">
        <x:v>Karışım, su/bağlayıcı oranı, kür, nem ve altlığa göre geniş değişim; proje ürünüyle kalibre edin.</x:v>
      </x:c>
    </x:row>
    <x:row r="340">
      <x:c r="A340" s="46" t="str">
        <x:v>PL-LIME-15</x:v>
      </x:c>
      <x:c r="B340" s="46" t="str">
        <x:v>Sıva / kaplama</x:v>
      </x:c>
      <x:c r="C340" s="46" t="str">
        <x:v>Kireç sıva</x:v>
      </x:c>
      <x:c r="D340" s="46" t="str">
        <x:v>GENERIC</x:v>
      </x:c>
      <x:c r="E340" s="46" t="str">
        <x:v>LIME</x:v>
      </x:c>
      <x:c r="F340" s="70" t="str">
        <x:v>ENGINEERING_DEFAULT</x:v>
      </x:c>
      <x:c r="G340" s="54" t="n">
        <x:v>15</x:v>
      </x:c>
      <x:c r="H340" s="54" t="n">
        <x:v>1550</x:v>
      </x:c>
      <x:c r="I340" s="74" t="n">
        <x:f>IF(OR(G340="",H340=""),"",G340/1000*H340)</x:f>
        <x:v>23.25</x:v>
      </x:c>
      <x:c r="J340" s="75" t="n">
        <x:v>3</x:v>
      </x:c>
      <x:c r="K340" s="75" t="n">
        <x:v>0.22</x:v>
      </x:c>
      <x:c r="L340" s="75" t="n">
        <x:v>0.025</x:v>
      </x:c>
      <x:c r="M340" s="75" t="n">
        <x:f>IF(OR(J340="",K340=""),"",J340/(2*(1+K340)))</x:f>
        <x:v>1.2295081967213115</x:v>
      </x:c>
      <x:c r="N340" s="76" t="n">
        <x:f>IF(OR(J340="",H340="",K340=""),"",SQRT(J340*1000000000*(1-K340)/(H340*(1+K340)*(1-2*K340))))</x:f>
        <x:v>1486.5110804377168</x:v>
      </x:c>
      <x:c r="O340" s="75" t="n">
        <x:f>IF(OR(H340="",N340=""),"",H340*N340/1000000)</x:f>
        <x:v>2.3040921746784613</x:v>
      </x:c>
      <x:c r="P340" s="74" t="n">
        <x:f>IF(OR(J340="",G340="",K340=""),"",J340*1000000000*(G340/1000)^3/(12*(1-K340^2)))</x:f>
        <x:v>886.6645649432535</x:v>
      </x:c>
      <x:c r="Q340" s="76" t="n">
        <x:f>IF(OR(I340="",P340=""),"",343.2^2/(2*PI())*SQRT(I340/P340))</x:f>
        <x:v>3035.6136175353054</x:v>
      </x:c>
      <x:c r="R340" s="58"/>
      <x:c r="S340" s="62" t="n">
        <x:v>0.7</x:v>
      </x:c>
      <x:c r="T340" s="46" t="str">
        <x:v>20 °C / kuru nominal</x:v>
      </x:c>
      <x:c r="U340" s="46" t="str">
        <x:v>DÜŞÜK-ORTA</x:v>
      </x:c>
      <x:c r="V340" s="46" t="str"/>
      <x:c r="W340" s="50" t="str">
        <x:v>Karışım, su/bağlayıcı oranı, kür, nem ve altlığa göre geniş değişim; proje ürünüyle kalibre edin.</x:v>
      </x:c>
    </x:row>
    <x:row r="341">
      <x:c r="A341" s="46" t="str">
        <x:v>PL-LIME-20</x:v>
      </x:c>
      <x:c r="B341" s="46" t="str">
        <x:v>Sıva / kaplama</x:v>
      </x:c>
      <x:c r="C341" s="46" t="str">
        <x:v>Kireç sıva</x:v>
      </x:c>
      <x:c r="D341" s="46" t="str">
        <x:v>GENERIC</x:v>
      </x:c>
      <x:c r="E341" s="46" t="str">
        <x:v>LIME</x:v>
      </x:c>
      <x:c r="F341" s="70" t="str">
        <x:v>ENGINEERING_DEFAULT</x:v>
      </x:c>
      <x:c r="G341" s="54" t="n">
        <x:v>20</x:v>
      </x:c>
      <x:c r="H341" s="54" t="n">
        <x:v>1550</x:v>
      </x:c>
      <x:c r="I341" s="74" t="n">
        <x:f>IF(OR(G341="",H341=""),"",G341/1000*H341)</x:f>
        <x:v>31</x:v>
      </x:c>
      <x:c r="J341" s="75" t="n">
        <x:v>3</x:v>
      </x:c>
      <x:c r="K341" s="75" t="n">
        <x:v>0.22</x:v>
      </x:c>
      <x:c r="L341" s="75" t="n">
        <x:v>0.025</x:v>
      </x:c>
      <x:c r="M341" s="75" t="n">
        <x:f>IF(OR(J341="",K341=""),"",J341/(2*(1+K341)))</x:f>
        <x:v>1.2295081967213115</x:v>
      </x:c>
      <x:c r="N341" s="76" t="n">
        <x:f>IF(OR(J341="",H341="",K341=""),"",SQRT(J341*1000000000*(1-K341)/(H341*(1+K341)*(1-2*K341))))</x:f>
        <x:v>1486.5110804377168</x:v>
      </x:c>
      <x:c r="O341" s="75" t="n">
        <x:f>IF(OR(H341="",N341=""),"",H341*N341/1000000)</x:f>
        <x:v>2.3040921746784613</x:v>
      </x:c>
      <x:c r="P341" s="74" t="n">
        <x:f>IF(OR(J341="",G341="",K341=""),"",J341*1000000000*(G341/1000)^3/(12*(1-K341^2)))</x:f>
        <x:v>2101.7234131988234</x:v>
      </x:c>
      <x:c r="Q341" s="76" t="n">
        <x:f>IF(OR(I341="",P341=""),"",343.2^2/(2*PI())*SQRT(I341/P341))</x:f>
        <x:v>2276.710213151479</x:v>
      </x:c>
      <x:c r="R341" s="58"/>
      <x:c r="S341" s="62" t="n">
        <x:v>0.7</x:v>
      </x:c>
      <x:c r="T341" s="46" t="str">
        <x:v>20 °C / kuru nominal</x:v>
      </x:c>
      <x:c r="U341" s="46" t="str">
        <x:v>DÜŞÜK-ORTA</x:v>
      </x:c>
      <x:c r="V341" s="46" t="str"/>
      <x:c r="W341" s="50" t="str">
        <x:v>Karışım, su/bağlayıcı oranı, kür, nem ve altlığa göre geniş değişim; proje ürünüyle kalibre edin.</x:v>
      </x:c>
    </x:row>
    <x:row r="342">
      <x:c r="A342" s="46" t="str">
        <x:v>PL-LIME-25</x:v>
      </x:c>
      <x:c r="B342" s="46" t="str">
        <x:v>Sıva / kaplama</x:v>
      </x:c>
      <x:c r="C342" s="46" t="str">
        <x:v>Kireç sıva</x:v>
      </x:c>
      <x:c r="D342" s="46" t="str">
        <x:v>GENERIC</x:v>
      </x:c>
      <x:c r="E342" s="46" t="str">
        <x:v>LIME</x:v>
      </x:c>
      <x:c r="F342" s="70" t="str">
        <x:v>ENGINEERING_DEFAULT</x:v>
      </x:c>
      <x:c r="G342" s="54" t="n">
        <x:v>25</x:v>
      </x:c>
      <x:c r="H342" s="54" t="n">
        <x:v>1550</x:v>
      </x:c>
      <x:c r="I342" s="74" t="n">
        <x:f>IF(OR(G342="",H342=""),"",G342/1000*H342)</x:f>
        <x:v>38.75</x:v>
      </x:c>
      <x:c r="J342" s="75" t="n">
        <x:v>3</x:v>
      </x:c>
      <x:c r="K342" s="75" t="n">
        <x:v>0.22</x:v>
      </x:c>
      <x:c r="L342" s="75" t="n">
        <x:v>0.025</x:v>
      </x:c>
      <x:c r="M342" s="75" t="n">
        <x:f>IF(OR(J342="",K342=""),"",J342/(2*(1+K342)))</x:f>
        <x:v>1.2295081967213115</x:v>
      </x:c>
      <x:c r="N342" s="76" t="n">
        <x:f>IF(OR(J342="",H342="",K342=""),"",SQRT(J342*1000000000*(1-K342)/(H342*(1+K342)*(1-2*K342))))</x:f>
        <x:v>1486.5110804377168</x:v>
      </x:c>
      <x:c r="O342" s="75" t="n">
        <x:f>IF(OR(H342="",N342=""),"",H342*N342/1000000)</x:f>
        <x:v>2.3040921746784613</x:v>
      </x:c>
      <x:c r="P342" s="74" t="n">
        <x:f>IF(OR(J342="",G342="",K342=""),"",J342*1000000000*(G342/1000)^3/(12*(1-K342^2)))</x:f>
        <x:v>4104.928541403952</x:v>
      </x:c>
      <x:c r="Q342" s="76" t="n">
        <x:f>IF(OR(I342="",P342=""),"",343.2^2/(2*PI())*SQRT(I342/P342))</x:f>
        <x:v>1821.368170521183</x:v>
      </x:c>
      <x:c r="R342" s="58"/>
      <x:c r="S342" s="62" t="n">
        <x:v>0.7</x:v>
      </x:c>
      <x:c r="T342" s="46" t="str">
        <x:v>20 °C / kuru nominal</x:v>
      </x:c>
      <x:c r="U342" s="46" t="str">
        <x:v>DÜŞÜK-ORTA</x:v>
      </x:c>
      <x:c r="V342" s="46" t="str"/>
      <x:c r="W342" s="50" t="str">
        <x:v>Karışım, su/bağlayıcı oranı, kür, nem ve altlığa göre geniş değişim; proje ürünüyle kalibre edin.</x:v>
      </x:c>
    </x:row>
    <x:row r="343">
      <x:c r="A343" s="46" t="str">
        <x:v>PL-CLAY-10</x:v>
      </x:c>
      <x:c r="B343" s="46" t="str">
        <x:v>Sıva / kaplama</x:v>
      </x:c>
      <x:c r="C343" s="46" t="str">
        <x:v>Kil sıva</x:v>
      </x:c>
      <x:c r="D343" s="46" t="str">
        <x:v>GENERIC</x:v>
      </x:c>
      <x:c r="E343" s="46" t="str">
        <x:v>CLAY</x:v>
      </x:c>
      <x:c r="F343" s="70" t="str">
        <x:v>ENGINEERING_DEFAULT</x:v>
      </x:c>
      <x:c r="G343" s="54" t="n">
        <x:v>10</x:v>
      </x:c>
      <x:c r="H343" s="54" t="n">
        <x:v>1700</x:v>
      </x:c>
      <x:c r="I343" s="74" t="n">
        <x:f>IF(OR(G343="",H343=""),"",G343/1000*H343)</x:f>
        <x:v>17</x:v>
      </x:c>
      <x:c r="J343" s="75" t="n">
        <x:v>2</x:v>
      </x:c>
      <x:c r="K343" s="75" t="n">
        <x:v>0.25</x:v>
      </x:c>
      <x:c r="L343" s="75" t="n">
        <x:v>0.04</x:v>
      </x:c>
      <x:c r="M343" s="75" t="n">
        <x:f>IF(OR(J343="",K343=""),"",J343/(2*(1+K343)))</x:f>
        <x:v>0.8</x:v>
      </x:c>
      <x:c r="N343" s="76" t="n">
        <x:f>IF(OR(J343="",H343="",K343=""),"",SQRT(J343*1000000000*(1-K343)/(H343*(1+K343)*(1-2*K343))))</x:f>
        <x:v>1188.1770515720093</x:v>
      </x:c>
      <x:c r="O343" s="75" t="n">
        <x:f>IF(OR(H343="",N343=""),"",H343*N343/1000000)</x:f>
        <x:v>2.0199009876724157</x:v>
      </x:c>
      <x:c r="P343" s="74" t="n">
        <x:f>IF(OR(J343="",G343="",K343=""),"",J343*1000000000*(G343/1000)^3/(12*(1-K343^2)))</x:f>
        <x:v>177.7777777777778</x:v>
      </x:c>
      <x:c r="Q343" s="76" t="n">
        <x:f>IF(OR(I343="",P343=""),"",343.2^2/(2*PI())*SQRT(I343/P343))</x:f>
        <x:v>5796.96147361858</x:v>
      </x:c>
      <x:c r="R343" s="58"/>
      <x:c r="S343" s="62" t="n">
        <x:v>0.7</x:v>
      </x:c>
      <x:c r="T343" s="46" t="str">
        <x:v>20 °C / kuru nominal</x:v>
      </x:c>
      <x:c r="U343" s="46" t="str">
        <x:v>DÜŞÜK-ORTA</x:v>
      </x:c>
      <x:c r="V343" s="46" t="str"/>
      <x:c r="W343" s="50" t="str">
        <x:v>Karışım, su/bağlayıcı oranı, kür, nem ve altlığa göre geniş değişim; proje ürünüyle kalibre edin.</x:v>
      </x:c>
    </x:row>
    <x:row r="344">
      <x:c r="A344" s="46" t="str">
        <x:v>PL-CLAY-15</x:v>
      </x:c>
      <x:c r="B344" s="46" t="str">
        <x:v>Sıva / kaplama</x:v>
      </x:c>
      <x:c r="C344" s="46" t="str">
        <x:v>Kil sıva</x:v>
      </x:c>
      <x:c r="D344" s="46" t="str">
        <x:v>GENERIC</x:v>
      </x:c>
      <x:c r="E344" s="46" t="str">
        <x:v>CLAY</x:v>
      </x:c>
      <x:c r="F344" s="70" t="str">
        <x:v>ENGINEERING_DEFAULT</x:v>
      </x:c>
      <x:c r="G344" s="54" t="n">
        <x:v>15</x:v>
      </x:c>
      <x:c r="H344" s="54" t="n">
        <x:v>1700</x:v>
      </x:c>
      <x:c r="I344" s="74" t="n">
        <x:f>IF(OR(G344="",H344=""),"",G344/1000*H344)</x:f>
        <x:v>25.5</x:v>
      </x:c>
      <x:c r="J344" s="75" t="n">
        <x:v>2</x:v>
      </x:c>
      <x:c r="K344" s="75" t="n">
        <x:v>0.25</x:v>
      </x:c>
      <x:c r="L344" s="75" t="n">
        <x:v>0.04</x:v>
      </x:c>
      <x:c r="M344" s="75" t="n">
        <x:f>IF(OR(J344="",K344=""),"",J344/(2*(1+K344)))</x:f>
        <x:v>0.8</x:v>
      </x:c>
      <x:c r="N344" s="76" t="n">
        <x:f>IF(OR(J344="",H344="",K344=""),"",SQRT(J344*1000000000*(1-K344)/(H344*(1+K344)*(1-2*K344))))</x:f>
        <x:v>1188.1770515720093</x:v>
      </x:c>
      <x:c r="O344" s="75" t="n">
        <x:f>IF(OR(H344="",N344=""),"",H344*N344/1000000)</x:f>
        <x:v>2.0199009876724157</x:v>
      </x:c>
      <x:c r="P344" s="74" t="n">
        <x:f>IF(OR(J344="",G344="",K344=""),"",J344*1000000000*(G344/1000)^3/(12*(1-K344^2)))</x:f>
        <x:v>600</x:v>
      </x:c>
      <x:c r="Q344" s="76" t="n">
        <x:f>IF(OR(I344="",P344=""),"",343.2^2/(2*PI())*SQRT(I344/P344))</x:f>
        <x:v>3864.6409824123875</x:v>
      </x:c>
      <x:c r="R344" s="58"/>
      <x:c r="S344" s="62" t="n">
        <x:v>0.7</x:v>
      </x:c>
      <x:c r="T344" s="46" t="str">
        <x:v>20 °C / kuru nominal</x:v>
      </x:c>
      <x:c r="U344" s="46" t="str">
        <x:v>DÜŞÜK-ORTA</x:v>
      </x:c>
      <x:c r="V344" s="46" t="str"/>
      <x:c r="W344" s="50" t="str">
        <x:v>Karışım, su/bağlayıcı oranı, kür, nem ve altlığa göre geniş değişim; proje ürünüyle kalibre edin.</x:v>
      </x:c>
    </x:row>
    <x:row r="345">
      <x:c r="A345" s="46" t="str">
        <x:v>PL-CLAY-20</x:v>
      </x:c>
      <x:c r="B345" s="46" t="str">
        <x:v>Sıva / kaplama</x:v>
      </x:c>
      <x:c r="C345" s="46" t="str">
        <x:v>Kil sıva</x:v>
      </x:c>
      <x:c r="D345" s="46" t="str">
        <x:v>GENERIC</x:v>
      </x:c>
      <x:c r="E345" s="46" t="str">
        <x:v>CLAY</x:v>
      </x:c>
      <x:c r="F345" s="70" t="str">
        <x:v>ENGINEERING_DEFAULT</x:v>
      </x:c>
      <x:c r="G345" s="54" t="n">
        <x:v>20</x:v>
      </x:c>
      <x:c r="H345" s="54" t="n">
        <x:v>1700</x:v>
      </x:c>
      <x:c r="I345" s="74" t="n">
        <x:f>IF(OR(G345="",H345=""),"",G345/1000*H345)</x:f>
        <x:v>34</x:v>
      </x:c>
      <x:c r="J345" s="75" t="n">
        <x:v>2</x:v>
      </x:c>
      <x:c r="K345" s="75" t="n">
        <x:v>0.25</x:v>
      </x:c>
      <x:c r="L345" s="75" t="n">
        <x:v>0.04</x:v>
      </x:c>
      <x:c r="M345" s="75" t="n">
        <x:f>IF(OR(J345="",K345=""),"",J345/(2*(1+K345)))</x:f>
        <x:v>0.8</x:v>
      </x:c>
      <x:c r="N345" s="76" t="n">
        <x:f>IF(OR(J345="",H345="",K345=""),"",SQRT(J345*1000000000*(1-K345)/(H345*(1+K345)*(1-2*K345))))</x:f>
        <x:v>1188.1770515720093</x:v>
      </x:c>
      <x:c r="O345" s="75" t="n">
        <x:f>IF(OR(H345="",N345=""),"",H345*N345/1000000)</x:f>
        <x:v>2.0199009876724157</x:v>
      </x:c>
      <x:c r="P345" s="74" t="n">
        <x:f>IF(OR(J345="",G345="",K345=""),"",J345*1000000000*(G345/1000)^3/(12*(1-K345^2)))</x:f>
        <x:v>1422.2222222222224</x:v>
      </x:c>
      <x:c r="Q345" s="76" t="n">
        <x:f>IF(OR(I345="",P345=""),"",343.2^2/(2*PI())*SQRT(I345/P345))</x:f>
        <x:v>2898.48073680929</x:v>
      </x:c>
      <x:c r="R345" s="58"/>
      <x:c r="S345" s="62" t="n">
        <x:v>0.7</x:v>
      </x:c>
      <x:c r="T345" s="46" t="str">
        <x:v>20 °C / kuru nominal</x:v>
      </x:c>
      <x:c r="U345" s="46" t="str">
        <x:v>DÜŞÜK-ORTA</x:v>
      </x:c>
      <x:c r="V345" s="46" t="str"/>
      <x:c r="W345" s="50" t="str">
        <x:v>Karışım, su/bağlayıcı oranı, kür, nem ve altlığa göre geniş değişim; proje ürünüyle kalibre edin.</x:v>
      </x:c>
    </x:row>
    <x:row r="346">
      <x:c r="A346" s="46" t="str">
        <x:v>PL-CLAY-25</x:v>
      </x:c>
      <x:c r="B346" s="46" t="str">
        <x:v>Sıva / kaplama</x:v>
      </x:c>
      <x:c r="C346" s="46" t="str">
        <x:v>Kil sıva</x:v>
      </x:c>
      <x:c r="D346" s="46" t="str">
        <x:v>GENERIC</x:v>
      </x:c>
      <x:c r="E346" s="46" t="str">
        <x:v>CLAY</x:v>
      </x:c>
      <x:c r="F346" s="70" t="str">
        <x:v>ENGINEERING_DEFAULT</x:v>
      </x:c>
      <x:c r="G346" s="54" t="n">
        <x:v>25</x:v>
      </x:c>
      <x:c r="H346" s="54" t="n">
        <x:v>1700</x:v>
      </x:c>
      <x:c r="I346" s="74" t="n">
        <x:f>IF(OR(G346="",H346=""),"",G346/1000*H346)</x:f>
        <x:v>42.5</x:v>
      </x:c>
      <x:c r="J346" s="75" t="n">
        <x:v>2</x:v>
      </x:c>
      <x:c r="K346" s="75" t="n">
        <x:v>0.25</x:v>
      </x:c>
      <x:c r="L346" s="75" t="n">
        <x:v>0.04</x:v>
      </x:c>
      <x:c r="M346" s="75" t="n">
        <x:f>IF(OR(J346="",K346=""),"",J346/(2*(1+K346)))</x:f>
        <x:v>0.8</x:v>
      </x:c>
      <x:c r="N346" s="76" t="n">
        <x:f>IF(OR(J346="",H346="",K346=""),"",SQRT(J346*1000000000*(1-K346)/(H346*(1+K346)*(1-2*K346))))</x:f>
        <x:v>1188.1770515720093</x:v>
      </x:c>
      <x:c r="O346" s="75" t="n">
        <x:f>IF(OR(H346="",N346=""),"",H346*N346/1000000)</x:f>
        <x:v>2.0199009876724157</x:v>
      </x:c>
      <x:c r="P346" s="74" t="n">
        <x:f>IF(OR(J346="",G346="",K346=""),"",J346*1000000000*(G346/1000)^3/(12*(1-K346^2)))</x:f>
        <x:v>2777.7777777777783</x:v>
      </x:c>
      <x:c r="Q346" s="76" t="n">
        <x:f>IF(OR(I346="",P346=""),"",343.2^2/(2*PI())*SQRT(I346/P346))</x:f>
        <x:v>2318.784589447432</x:v>
      </x:c>
      <x:c r="R346" s="58"/>
      <x:c r="S346" s="62" t="n">
        <x:v>0.7</x:v>
      </x:c>
      <x:c r="T346" s="46" t="str">
        <x:v>20 °C / kuru nominal</x:v>
      </x:c>
      <x:c r="U346" s="46" t="str">
        <x:v>DÜŞÜK-ORTA</x:v>
      </x:c>
      <x:c r="V346" s="46" t="str"/>
      <x:c r="W346" s="50" t="str">
        <x:v>Karışım, su/bağlayıcı oranı, kür, nem ve altlığa göre geniş değişim; proje ürünüyle kalibre edin.</x:v>
      </x:c>
    </x:row>
    <x:row r="347">
      <x:c r="A347" s="46" t="str">
        <x:v>PL-POROUS-ACOUSTIC-10</x:v>
      </x:c>
      <x:c r="B347" s="46" t="str">
        <x:v>Sıva / kaplama</x:v>
      </x:c>
      <x:c r="C347" s="46" t="str">
        <x:v>Gözenekli akustik sıva</x:v>
      </x:c>
      <x:c r="D347" s="46" t="str">
        <x:v>GENERIC</x:v>
      </x:c>
      <x:c r="E347" s="46" t="str">
        <x:v>POROUS-ACOUSTIC</x:v>
      </x:c>
      <x:c r="F347" s="70" t="str">
        <x:v>ENGINEERING_DEFAULT</x:v>
      </x:c>
      <x:c r="G347" s="54" t="n">
        <x:v>10</x:v>
      </x:c>
      <x:c r="H347" s="54" t="n">
        <x:v>450</x:v>
      </x:c>
      <x:c r="I347" s="74" t="n">
        <x:f>IF(OR(G347="",H347=""),"",G347/1000*H347)</x:f>
        <x:v>4.5</x:v>
      </x:c>
      <x:c r="J347" s="75" t="n">
        <x:v>0.2</x:v>
      </x:c>
      <x:c r="K347" s="75" t="n">
        <x:v>0.2</x:v>
      </x:c>
      <x:c r="L347" s="75" t="n">
        <x:v>0.08</x:v>
      </x:c>
      <x:c r="M347" s="75" t="n">
        <x:f>IF(OR(J347="",K347=""),"",J347/(2*(1+K347)))</x:f>
        <x:v>0.08333333333333334</x:v>
      </x:c>
      <x:c r="N347" s="76" t="n">
        <x:f>IF(OR(J347="",H347="",K347=""),"",SQRT(J347*1000000000*(1-K347)/(H347*(1+K347)*(1-2*K347))))</x:f>
        <x:v>702.7283689263065</x:v>
      </x:c>
      <x:c r="O347" s="75" t="n">
        <x:f>IF(OR(H347="",N347=""),"",H347*N347/1000000)</x:f>
        <x:v>0.31622776601683794</x:v>
      </x:c>
      <x:c r="P347" s="74" t="n">
        <x:f>IF(OR(J347="",G347="",K347=""),"",J347*1000000000*(G347/1000)^3/(12*(1-K347^2)))</x:f>
        <x:v>17.361111111111114</x:v>
      </x:c>
      <x:c r="Q347" s="76" t="n">
        <x:f>IF(OR(I347="",P347=""),"",343.2^2/(2*PI())*SQRT(I347/P347))</x:f>
        <x:v>9544.038632171709</x:v>
      </x:c>
      <x:c r="R347" s="58"/>
      <x:c r="S347" s="62" t="n">
        <x:v>0.07</x:v>
      </x:c>
      <x:c r="T347" s="46" t="str">
        <x:v>20 °C / kuru nominal</x:v>
      </x:c>
      <x:c r="U347" s="46" t="str">
        <x:v>DÜŞÜK-ORTA</x:v>
      </x:c>
      <x:c r="V347" s="46" t="str"/>
      <x:c r="W347" s="50" t="str">
        <x:v>Karışım, su/bağlayıcı oranı, kür, nem ve altlığa göre geniş değişim; proje ürünüyle kalibre edin.</x:v>
      </x:c>
    </x:row>
    <x:row r="348">
      <x:c r="A348" s="46" t="str">
        <x:v>PL-POROUS-ACOUSTIC-15</x:v>
      </x:c>
      <x:c r="B348" s="46" t="str">
        <x:v>Sıva / kaplama</x:v>
      </x:c>
      <x:c r="C348" s="46" t="str">
        <x:v>Gözenekli akustik sıva</x:v>
      </x:c>
      <x:c r="D348" s="46" t="str">
        <x:v>GENERIC</x:v>
      </x:c>
      <x:c r="E348" s="46" t="str">
        <x:v>POROUS-ACOUSTIC</x:v>
      </x:c>
      <x:c r="F348" s="70" t="str">
        <x:v>ENGINEERING_DEFAULT</x:v>
      </x:c>
      <x:c r="G348" s="54" t="n">
        <x:v>15</x:v>
      </x:c>
      <x:c r="H348" s="54" t="n">
        <x:v>450</x:v>
      </x:c>
      <x:c r="I348" s="74" t="n">
        <x:f>IF(OR(G348="",H348=""),"",G348/1000*H348)</x:f>
        <x:v>6.75</x:v>
      </x:c>
      <x:c r="J348" s="75" t="n">
        <x:v>0.2</x:v>
      </x:c>
      <x:c r="K348" s="75" t="n">
        <x:v>0.2</x:v>
      </x:c>
      <x:c r="L348" s="75" t="n">
        <x:v>0.08</x:v>
      </x:c>
      <x:c r="M348" s="75" t="n">
        <x:f>IF(OR(J348="",K348=""),"",J348/(2*(1+K348)))</x:f>
        <x:v>0.08333333333333334</x:v>
      </x:c>
      <x:c r="N348" s="76" t="n">
        <x:f>IF(OR(J348="",H348="",K348=""),"",SQRT(J348*1000000000*(1-K348)/(H348*(1+K348)*(1-2*K348))))</x:f>
        <x:v>702.7283689263065</x:v>
      </x:c>
      <x:c r="O348" s="75" t="n">
        <x:f>IF(OR(H348="",N348=""),"",H348*N348/1000000)</x:f>
        <x:v>0.31622776601683794</x:v>
      </x:c>
      <x:c r="P348" s="74" t="n">
        <x:f>IF(OR(J348="",G348="",K348=""),"",J348*1000000000*(G348/1000)^3/(12*(1-K348^2)))</x:f>
        <x:v>58.59375</x:v>
      </x:c>
      <x:c r="Q348" s="76" t="n">
        <x:f>IF(OR(I348="",P348=""),"",343.2^2/(2*PI())*SQRT(I348/P348))</x:f>
        <x:v>6362.692421447806</x:v>
      </x:c>
      <x:c r="R348" s="58"/>
      <x:c r="S348" s="62" t="n">
        <x:v>0.07</x:v>
      </x:c>
      <x:c r="T348" s="46" t="str">
        <x:v>20 °C / kuru nominal</x:v>
      </x:c>
      <x:c r="U348" s="46" t="str">
        <x:v>DÜŞÜK-ORTA</x:v>
      </x:c>
      <x:c r="V348" s="46" t="str"/>
      <x:c r="W348" s="50" t="str">
        <x:v>Karışım, su/bağlayıcı oranı, kür, nem ve altlığa göre geniş değişim; proje ürünüyle kalibre edin.</x:v>
      </x:c>
    </x:row>
    <x:row r="349">
      <x:c r="A349" s="46" t="str">
        <x:v>PL-POROUS-ACOUSTIC-20</x:v>
      </x:c>
      <x:c r="B349" s="46" t="str">
        <x:v>Sıva / kaplama</x:v>
      </x:c>
      <x:c r="C349" s="46" t="str">
        <x:v>Gözenekli akustik sıva</x:v>
      </x:c>
      <x:c r="D349" s="46" t="str">
        <x:v>GENERIC</x:v>
      </x:c>
      <x:c r="E349" s="46" t="str">
        <x:v>POROUS-ACOUSTIC</x:v>
      </x:c>
      <x:c r="F349" s="70" t="str">
        <x:v>ENGINEERING_DEFAULT</x:v>
      </x:c>
      <x:c r="G349" s="54" t="n">
        <x:v>20</x:v>
      </x:c>
      <x:c r="H349" s="54" t="n">
        <x:v>450</x:v>
      </x:c>
      <x:c r="I349" s="74" t="n">
        <x:f>IF(OR(G349="",H349=""),"",G349/1000*H349)</x:f>
        <x:v>9</x:v>
      </x:c>
      <x:c r="J349" s="75" t="n">
        <x:v>0.2</x:v>
      </x:c>
      <x:c r="K349" s="75" t="n">
        <x:v>0.2</x:v>
      </x:c>
      <x:c r="L349" s="75" t="n">
        <x:v>0.08</x:v>
      </x:c>
      <x:c r="M349" s="75" t="n">
        <x:f>IF(OR(J349="",K349=""),"",J349/(2*(1+K349)))</x:f>
        <x:v>0.08333333333333334</x:v>
      </x:c>
      <x:c r="N349" s="76" t="n">
        <x:f>IF(OR(J349="",H349="",K349=""),"",SQRT(J349*1000000000*(1-K349)/(H349*(1+K349)*(1-2*K349))))</x:f>
        <x:v>702.7283689263065</x:v>
      </x:c>
      <x:c r="O349" s="75" t="n">
        <x:f>IF(OR(H349="",N349=""),"",H349*N349/1000000)</x:f>
        <x:v>0.31622776601683794</x:v>
      </x:c>
      <x:c r="P349" s="74" t="n">
        <x:f>IF(OR(J349="",G349="",K349=""),"",J349*1000000000*(G349/1000)^3/(12*(1-K349^2)))</x:f>
        <x:v>138.8888888888889</x:v>
      </x:c>
      <x:c r="Q349" s="76" t="n">
        <x:f>IF(OR(I349="",P349=""),"",343.2^2/(2*PI())*SQRT(I349/P349))</x:f>
        <x:v>4772.019316085854</x:v>
      </x:c>
      <x:c r="R349" s="58"/>
      <x:c r="S349" s="62" t="n">
        <x:v>0.07</x:v>
      </x:c>
      <x:c r="T349" s="46" t="str">
        <x:v>20 °C / kuru nominal</x:v>
      </x:c>
      <x:c r="U349" s="46" t="str">
        <x:v>DÜŞÜK-ORTA</x:v>
      </x:c>
      <x:c r="V349" s="46" t="str"/>
      <x:c r="W349" s="50" t="str">
        <x:v>Karışım, su/bağlayıcı oranı, kür, nem ve altlığa göre geniş değişim; proje ürünüyle kalibre edin.</x:v>
      </x:c>
    </x:row>
    <x:row r="350">
      <x:c r="A350" s="46" t="str">
        <x:v>PL-POROUS-ACOUSTIC-25</x:v>
      </x:c>
      <x:c r="B350" s="46" t="str">
        <x:v>Sıva / kaplama</x:v>
      </x:c>
      <x:c r="C350" s="46" t="str">
        <x:v>Gözenekli akustik sıva</x:v>
      </x:c>
      <x:c r="D350" s="46" t="str">
        <x:v>GENERIC</x:v>
      </x:c>
      <x:c r="E350" s="46" t="str">
        <x:v>POROUS-ACOUSTIC</x:v>
      </x:c>
      <x:c r="F350" s="70" t="str">
        <x:v>ENGINEERING_DEFAULT</x:v>
      </x:c>
      <x:c r="G350" s="54" t="n">
        <x:v>25</x:v>
      </x:c>
      <x:c r="H350" s="54" t="n">
        <x:v>450</x:v>
      </x:c>
      <x:c r="I350" s="74" t="n">
        <x:f>IF(OR(G350="",H350=""),"",G350/1000*H350)</x:f>
        <x:v>11.25</x:v>
      </x:c>
      <x:c r="J350" s="75" t="n">
        <x:v>0.2</x:v>
      </x:c>
      <x:c r="K350" s="75" t="n">
        <x:v>0.2</x:v>
      </x:c>
      <x:c r="L350" s="75" t="n">
        <x:v>0.08</x:v>
      </x:c>
      <x:c r="M350" s="75" t="n">
        <x:f>IF(OR(J350="",K350=""),"",J350/(2*(1+K350)))</x:f>
        <x:v>0.08333333333333334</x:v>
      </x:c>
      <x:c r="N350" s="76" t="n">
        <x:f>IF(OR(J350="",H350="",K350=""),"",SQRT(J350*1000000000*(1-K350)/(H350*(1+K350)*(1-2*K350))))</x:f>
        <x:v>702.7283689263065</x:v>
      </x:c>
      <x:c r="O350" s="75" t="n">
        <x:f>IF(OR(H350="",N350=""),"",H350*N350/1000000)</x:f>
        <x:v>0.31622776601683794</x:v>
      </x:c>
      <x:c r="P350" s="74" t="n">
        <x:f>IF(OR(J350="",G350="",K350=""),"",J350*1000000000*(G350/1000)^3/(12*(1-K350^2)))</x:f>
        <x:v>271.2673611111112</x:v>
      </x:c>
      <x:c r="Q350" s="76" t="n">
        <x:f>IF(OR(I350="",P350=""),"",343.2^2/(2*PI())*SQRT(I350/P350))</x:f>
        <x:v>3817.615452868683</x:v>
      </x:c>
      <x:c r="R350" s="58"/>
      <x:c r="S350" s="62" t="n">
        <x:v>0.07</x:v>
      </x:c>
      <x:c r="T350" s="46" t="str">
        <x:v>20 °C / kuru nominal</x:v>
      </x:c>
      <x:c r="U350" s="46" t="str">
        <x:v>DÜŞÜK-ORTA</x:v>
      </x:c>
      <x:c r="V350" s="46" t="str"/>
      <x:c r="W350" s="50" t="str">
        <x:v>Karışım, su/bağlayıcı oranı, kür, nem ve altlığa göre geniş değişim; proje ürünüyle kalibre edin.</x:v>
      </x:c>
    </x:row>
    <x:row r="351">
      <x:c r="A351" s="46" t="str">
        <x:v>PL-POROUS-ACOUSTIC-30</x:v>
      </x:c>
      <x:c r="B351" s="46" t="str">
        <x:v>Sıva / kaplama</x:v>
      </x:c>
      <x:c r="C351" s="46" t="str">
        <x:v>Gözenekli akustik sıva</x:v>
      </x:c>
      <x:c r="D351" s="46" t="str">
        <x:v>GENERIC</x:v>
      </x:c>
      <x:c r="E351" s="46" t="str">
        <x:v>POROUS-ACOUSTIC</x:v>
      </x:c>
      <x:c r="F351" s="70" t="str">
        <x:v>ENGINEERING_DEFAULT</x:v>
      </x:c>
      <x:c r="G351" s="54" t="n">
        <x:v>30</x:v>
      </x:c>
      <x:c r="H351" s="54" t="n">
        <x:v>450</x:v>
      </x:c>
      <x:c r="I351" s="74" t="n">
        <x:f>IF(OR(G351="",H351=""),"",G351/1000*H351)</x:f>
        <x:v>13.5</x:v>
      </x:c>
      <x:c r="J351" s="75" t="n">
        <x:v>0.2</x:v>
      </x:c>
      <x:c r="K351" s="75" t="n">
        <x:v>0.2</x:v>
      </x:c>
      <x:c r="L351" s="75" t="n">
        <x:v>0.08</x:v>
      </x:c>
      <x:c r="M351" s="75" t="n">
        <x:f>IF(OR(J351="",K351=""),"",J351/(2*(1+K351)))</x:f>
        <x:v>0.08333333333333334</x:v>
      </x:c>
      <x:c r="N351" s="76" t="n">
        <x:f>IF(OR(J351="",H351="",K351=""),"",SQRT(J351*1000000000*(1-K351)/(H351*(1+K351)*(1-2*K351))))</x:f>
        <x:v>702.7283689263065</x:v>
      </x:c>
      <x:c r="O351" s="75" t="n">
        <x:f>IF(OR(H351="",N351=""),"",H351*N351/1000000)</x:f>
        <x:v>0.31622776601683794</x:v>
      </x:c>
      <x:c r="P351" s="74" t="n">
        <x:f>IF(OR(J351="",G351="",K351=""),"",J351*1000000000*(G351/1000)^3/(12*(1-K351^2)))</x:f>
        <x:v>468.75</x:v>
      </x:c>
      <x:c r="Q351" s="76" t="n">
        <x:f>IF(OR(I351="",P351=""),"",343.2^2/(2*PI())*SQRT(I351/P351))</x:f>
        <x:v>3181.346210723903</x:v>
      </x:c>
      <x:c r="R351" s="58"/>
      <x:c r="S351" s="62" t="n">
        <x:v>0.07</x:v>
      </x:c>
      <x:c r="T351" s="46" t="str">
        <x:v>20 °C / kuru nominal</x:v>
      </x:c>
      <x:c r="U351" s="46" t="str">
        <x:v>DÜŞÜK-ORTA</x:v>
      </x:c>
      <x:c r="V351" s="46" t="str"/>
      <x:c r="W351" s="50" t="str">
        <x:v>Karışım, su/bağlayıcı oranı, kür, nem ve altlığa göre geniş değişim; proje ürünüyle kalibre edin.</x:v>
      </x:c>
    </x:row>
    <x:row r="352">
      <x:c r="A352" s="46" t="str">
        <x:v>PL-POROUS-ACOUSTIC-40</x:v>
      </x:c>
      <x:c r="B352" s="46" t="str">
        <x:v>Sıva / kaplama</x:v>
      </x:c>
      <x:c r="C352" s="46" t="str">
        <x:v>Gözenekli akustik sıva</x:v>
      </x:c>
      <x:c r="D352" s="46" t="str">
        <x:v>GENERIC</x:v>
      </x:c>
      <x:c r="E352" s="46" t="str">
        <x:v>POROUS-ACOUSTIC</x:v>
      </x:c>
      <x:c r="F352" s="70" t="str">
        <x:v>ENGINEERING_DEFAULT</x:v>
      </x:c>
      <x:c r="G352" s="54" t="n">
        <x:v>40</x:v>
      </x:c>
      <x:c r="H352" s="54" t="n">
        <x:v>450</x:v>
      </x:c>
      <x:c r="I352" s="74" t="n">
        <x:f>IF(OR(G352="",H352=""),"",G352/1000*H352)</x:f>
        <x:v>18</x:v>
      </x:c>
      <x:c r="J352" s="75" t="n">
        <x:v>0.2</x:v>
      </x:c>
      <x:c r="K352" s="75" t="n">
        <x:v>0.2</x:v>
      </x:c>
      <x:c r="L352" s="75" t="n">
        <x:v>0.08</x:v>
      </x:c>
      <x:c r="M352" s="75" t="n">
        <x:f>IF(OR(J352="",K352=""),"",J352/(2*(1+K352)))</x:f>
        <x:v>0.08333333333333334</x:v>
      </x:c>
      <x:c r="N352" s="76" t="n">
        <x:f>IF(OR(J352="",H352="",K352=""),"",SQRT(J352*1000000000*(1-K352)/(H352*(1+K352)*(1-2*K352))))</x:f>
        <x:v>702.7283689263065</x:v>
      </x:c>
      <x:c r="O352" s="75" t="n">
        <x:f>IF(OR(H352="",N352=""),"",H352*N352/1000000)</x:f>
        <x:v>0.31622776601683794</x:v>
      </x:c>
      <x:c r="P352" s="74" t="n">
        <x:f>IF(OR(J352="",G352="",K352=""),"",J352*1000000000*(G352/1000)^3/(12*(1-K352^2)))</x:f>
        <x:v>1111.1111111111113</x:v>
      </x:c>
      <x:c r="Q352" s="76" t="n">
        <x:f>IF(OR(I352="",P352=""),"",343.2^2/(2*PI())*SQRT(I352/P352))</x:f>
        <x:v>2386.009658042927</x:v>
      </x:c>
      <x:c r="R352" s="58"/>
      <x:c r="S352" s="62" t="n">
        <x:v>0.07</x:v>
      </x:c>
      <x:c r="T352" s="46" t="str">
        <x:v>20 °C / kuru nominal</x:v>
      </x:c>
      <x:c r="U352" s="46" t="str">
        <x:v>DÜŞÜK-ORTA</x:v>
      </x:c>
      <x:c r="V352" s="46" t="str"/>
      <x:c r="W352" s="50" t="str">
        <x:v>Karışım, su/bağlayıcı oranı, kür, nem ve altlığa göre geniş değişim; proje ürünüyle kalibre edin.</x:v>
      </x:c>
    </x:row>
    <x:row r="353">
      <x:c r="A353" s="46" t="str">
        <x:v>PL-BARYTE-10</x:v>
      </x:c>
      <x:c r="B353" s="46" t="str">
        <x:v>Sıva / kaplama</x:v>
      </x:c>
      <x:c r="C353" s="46" t="str">
        <x:v>Baritli ağır sıva</x:v>
      </x:c>
      <x:c r="D353" s="46" t="str">
        <x:v>GENERIC</x:v>
      </x:c>
      <x:c r="E353" s="46" t="str">
        <x:v>BARYTE</x:v>
      </x:c>
      <x:c r="F353" s="70" t="str">
        <x:v>ENGINEERING_DEFAULT</x:v>
      </x:c>
      <x:c r="G353" s="54" t="n">
        <x:v>10</x:v>
      </x:c>
      <x:c r="H353" s="54" t="n">
        <x:v>3000</x:v>
      </x:c>
      <x:c r="I353" s="74" t="n">
        <x:f>IF(OR(G353="",H353=""),"",G353/1000*H353)</x:f>
        <x:v>30</x:v>
      </x:c>
      <x:c r="J353" s="75" t="n">
        <x:v>10</x:v>
      </x:c>
      <x:c r="K353" s="75" t="n">
        <x:v>0.22</x:v>
      </x:c>
      <x:c r="L353" s="75" t="n">
        <x:v>0.02</x:v>
      </x:c>
      <x:c r="M353" s="75" t="n">
        <x:f>IF(OR(J353="",K353=""),"",J353/(2*(1+K353)))</x:f>
        <x:v>4.098360655737705</x:v>
      </x:c>
      <x:c r="N353" s="76" t="n">
        <x:f>IF(OR(J353="",H353="",K353=""),"",SQRT(J353*1000000000*(1-K353)/(H353*(1+K353)*(1-2*K353))))</x:f>
        <x:v>1950.799992028731</x:v>
      </x:c>
      <x:c r="O353" s="75" t="n">
        <x:f>IF(OR(H353="",N353=""),"",H353*N353/1000000)</x:f>
        <x:v>5.8523999760861924</x:v>
      </x:c>
      <x:c r="P353" s="74" t="n">
        <x:f>IF(OR(J353="",G353="",K353=""),"",J353*1000000000*(G353/1000)^3/(12*(1-K353^2)))</x:f>
        <x:v>875.7180888328431</x:v>
      </x:c>
      <x:c r="Q353" s="76" t="n">
        <x:f>IF(OR(I353="",P353=""),"",343.2^2/(2*PI())*SQRT(I353/P353))</x:f>
        <x:v>3469.7098345544237</x:v>
      </x:c>
      <x:c r="R353" s="58"/>
      <x:c r="S353" s="62" t="n">
        <x:v>1.2</x:v>
      </x:c>
      <x:c r="T353" s="46" t="str">
        <x:v>20 °C / kuru nominal</x:v>
      </x:c>
      <x:c r="U353" s="46" t="str">
        <x:v>DÜŞÜK-ORTA</x:v>
      </x:c>
      <x:c r="V353" s="46" t="str"/>
      <x:c r="W353" s="50" t="str">
        <x:v>Karışım, su/bağlayıcı oranı, kür, nem ve altlığa göre geniş değişim; proje ürünüyle kalibre edin.</x:v>
      </x:c>
    </x:row>
    <x:row r="354">
      <x:c r="A354" s="46" t="str">
        <x:v>PL-BARYTE-15</x:v>
      </x:c>
      <x:c r="B354" s="46" t="str">
        <x:v>Sıva / kaplama</x:v>
      </x:c>
      <x:c r="C354" s="46" t="str">
        <x:v>Baritli ağır sıva</x:v>
      </x:c>
      <x:c r="D354" s="46" t="str">
        <x:v>GENERIC</x:v>
      </x:c>
      <x:c r="E354" s="46" t="str">
        <x:v>BARYTE</x:v>
      </x:c>
      <x:c r="F354" s="70" t="str">
        <x:v>ENGINEERING_DEFAULT</x:v>
      </x:c>
      <x:c r="G354" s="54" t="n">
        <x:v>15</x:v>
      </x:c>
      <x:c r="H354" s="54" t="n">
        <x:v>3000</x:v>
      </x:c>
      <x:c r="I354" s="74" t="n">
        <x:f>IF(OR(G354="",H354=""),"",G354/1000*H354)</x:f>
        <x:v>45</x:v>
      </x:c>
      <x:c r="J354" s="75" t="n">
        <x:v>10</x:v>
      </x:c>
      <x:c r="K354" s="75" t="n">
        <x:v>0.22</x:v>
      </x:c>
      <x:c r="L354" s="75" t="n">
        <x:v>0.02</x:v>
      </x:c>
      <x:c r="M354" s="75" t="n">
        <x:f>IF(OR(J354="",K354=""),"",J354/(2*(1+K354)))</x:f>
        <x:v>4.098360655737705</x:v>
      </x:c>
      <x:c r="N354" s="76" t="n">
        <x:f>IF(OR(J354="",H354="",K354=""),"",SQRT(J354*1000000000*(1-K354)/(H354*(1+K354)*(1-2*K354))))</x:f>
        <x:v>1950.799992028731</x:v>
      </x:c>
      <x:c r="O354" s="75" t="n">
        <x:f>IF(OR(H354="",N354=""),"",H354*N354/1000000)</x:f>
        <x:v>5.8523999760861924</x:v>
      </x:c>
      <x:c r="P354" s="74" t="n">
        <x:f>IF(OR(J354="",G354="",K354=""),"",J354*1000000000*(G354/1000)^3/(12*(1-K354^2)))</x:f>
        <x:v>2955.548549810845</x:v>
      </x:c>
      <x:c r="Q354" s="76" t="n">
        <x:f>IF(OR(I354="",P354=""),"",343.2^2/(2*PI())*SQRT(I354/P354))</x:f>
        <x:v>2313.139889702949</x:v>
      </x:c>
      <x:c r="R354" s="58"/>
      <x:c r="S354" s="62" t="n">
        <x:v>1.2</x:v>
      </x:c>
      <x:c r="T354" s="46" t="str">
        <x:v>20 °C / kuru nominal</x:v>
      </x:c>
      <x:c r="U354" s="46" t="str">
        <x:v>DÜŞÜK-ORTA</x:v>
      </x:c>
      <x:c r="V354" s="46" t="str"/>
      <x:c r="W354" s="50" t="str">
        <x:v>Karışım, su/bağlayıcı oranı, kür, nem ve altlığa göre geniş değişim; proje ürünüyle kalibre edin.</x:v>
      </x:c>
    </x:row>
    <x:row r="355">
      <x:c r="A355" s="46" t="str">
        <x:v>PL-BARYTE-20</x:v>
      </x:c>
      <x:c r="B355" s="46" t="str">
        <x:v>Sıva / kaplama</x:v>
      </x:c>
      <x:c r="C355" s="46" t="str">
        <x:v>Baritli ağır sıva</x:v>
      </x:c>
      <x:c r="D355" s="46" t="str">
        <x:v>GENERIC</x:v>
      </x:c>
      <x:c r="E355" s="46" t="str">
        <x:v>BARYTE</x:v>
      </x:c>
      <x:c r="F355" s="70" t="str">
        <x:v>ENGINEERING_DEFAULT</x:v>
      </x:c>
      <x:c r="G355" s="54" t="n">
        <x:v>20</x:v>
      </x:c>
      <x:c r="H355" s="54" t="n">
        <x:v>3000</x:v>
      </x:c>
      <x:c r="I355" s="74" t="n">
        <x:f>IF(OR(G355="",H355=""),"",G355/1000*H355)</x:f>
        <x:v>60</x:v>
      </x:c>
      <x:c r="J355" s="75" t="n">
        <x:v>10</x:v>
      </x:c>
      <x:c r="K355" s="75" t="n">
        <x:v>0.22</x:v>
      </x:c>
      <x:c r="L355" s="75" t="n">
        <x:v>0.02</x:v>
      </x:c>
      <x:c r="M355" s="75" t="n">
        <x:f>IF(OR(J355="",K355=""),"",J355/(2*(1+K355)))</x:f>
        <x:v>4.098360655737705</x:v>
      </x:c>
      <x:c r="N355" s="76" t="n">
        <x:f>IF(OR(J355="",H355="",K355=""),"",SQRT(J355*1000000000*(1-K355)/(H355*(1+K355)*(1-2*K355))))</x:f>
        <x:v>1950.799992028731</x:v>
      </x:c>
      <x:c r="O355" s="75" t="n">
        <x:f>IF(OR(H355="",N355=""),"",H355*N355/1000000)</x:f>
        <x:v>5.8523999760861924</x:v>
      </x:c>
      <x:c r="P355" s="74" t="n">
        <x:f>IF(OR(J355="",G355="",K355=""),"",J355*1000000000*(G355/1000)^3/(12*(1-K355^2)))</x:f>
        <x:v>7005.744710662745</x:v>
      </x:c>
      <x:c r="Q355" s="76" t="n">
        <x:f>IF(OR(I355="",P355=""),"",343.2^2/(2*PI())*SQRT(I355/P355))</x:f>
        <x:v>1734.8549172772118</x:v>
      </x:c>
      <x:c r="R355" s="58"/>
      <x:c r="S355" s="62" t="n">
        <x:v>1.2</x:v>
      </x:c>
      <x:c r="T355" s="46" t="str">
        <x:v>20 °C / kuru nominal</x:v>
      </x:c>
      <x:c r="U355" s="46" t="str">
        <x:v>DÜŞÜK-ORTA</x:v>
      </x:c>
      <x:c r="V355" s="46" t="str"/>
      <x:c r="W355" s="50" t="str">
        <x:v>Karışım, su/bağlayıcı oranı, kür, nem ve altlığa göre geniş değişim; proje ürünüyle kalibre edin.</x:v>
      </x:c>
    </x:row>
    <x:row r="356">
      <x:c r="A356" s="46" t="str">
        <x:v>PL-BARYTE-25</x:v>
      </x:c>
      <x:c r="B356" s="46" t="str">
        <x:v>Sıva / kaplama</x:v>
      </x:c>
      <x:c r="C356" s="46" t="str">
        <x:v>Baritli ağır sıva</x:v>
      </x:c>
      <x:c r="D356" s="46" t="str">
        <x:v>GENERIC</x:v>
      </x:c>
      <x:c r="E356" s="46" t="str">
        <x:v>BARYTE</x:v>
      </x:c>
      <x:c r="F356" s="70" t="str">
        <x:v>ENGINEERING_DEFAULT</x:v>
      </x:c>
      <x:c r="G356" s="54" t="n">
        <x:v>25</x:v>
      </x:c>
      <x:c r="H356" s="54" t="n">
        <x:v>3000</x:v>
      </x:c>
      <x:c r="I356" s="74" t="n">
        <x:f>IF(OR(G356="",H356=""),"",G356/1000*H356)</x:f>
        <x:v>75</x:v>
      </x:c>
      <x:c r="J356" s="75" t="n">
        <x:v>10</x:v>
      </x:c>
      <x:c r="K356" s="75" t="n">
        <x:v>0.22</x:v>
      </x:c>
      <x:c r="L356" s="75" t="n">
        <x:v>0.02</x:v>
      </x:c>
      <x:c r="M356" s="75" t="n">
        <x:f>IF(OR(J356="",K356=""),"",J356/(2*(1+K356)))</x:f>
        <x:v>4.098360655737705</x:v>
      </x:c>
      <x:c r="N356" s="76" t="n">
        <x:f>IF(OR(J356="",H356="",K356=""),"",SQRT(J356*1000000000*(1-K356)/(H356*(1+K356)*(1-2*K356))))</x:f>
        <x:v>1950.799992028731</x:v>
      </x:c>
      <x:c r="O356" s="75" t="n">
        <x:f>IF(OR(H356="",N356=""),"",H356*N356/1000000)</x:f>
        <x:v>5.8523999760861924</x:v>
      </x:c>
      <x:c r="P356" s="74" t="n">
        <x:f>IF(OR(J356="",G356="",K356=""),"",J356*1000000000*(G356/1000)^3/(12*(1-K356^2)))</x:f>
        <x:v>13683.095138013174</x:v>
      </x:c>
      <x:c r="Q356" s="76" t="n">
        <x:f>IF(OR(I356="",P356=""),"",343.2^2/(2*PI())*SQRT(I356/P356))</x:f>
        <x:v>1387.8839338217692</x:v>
      </x:c>
      <x:c r="R356" s="58"/>
      <x:c r="S356" s="62" t="n">
        <x:v>1.2</x:v>
      </x:c>
      <x:c r="T356" s="46" t="str">
        <x:v>20 °C / kuru nominal</x:v>
      </x:c>
      <x:c r="U356" s="46" t="str">
        <x:v>DÜŞÜK-ORTA</x:v>
      </x:c>
      <x:c r="V356" s="46" t="str"/>
      <x:c r="W356" s="50" t="str">
        <x:v>Karışım, su/bağlayıcı oranı, kür, nem ve altlığa göre geniş değişim; proje ürünüyle kalibre edin.</x:v>
      </x:c>
    </x:row>
    <x:row r="357">
      <x:c r="A357" s="46" t="str">
        <x:v>PL-TILE-ADH-3</x:v>
      </x:c>
      <x:c r="B357" s="46" t="str">
        <x:v>Sıva / kaplama</x:v>
      </x:c>
      <x:c r="C357" s="46" t="str">
        <x:v>Çimento esaslı seramik yapıştırıcısı</x:v>
      </x:c>
      <x:c r="D357" s="46" t="str">
        <x:v>GENERIC</x:v>
      </x:c>
      <x:c r="E357" s="46" t="str">
        <x:v>TILE-ADH</x:v>
      </x:c>
      <x:c r="F357" s="70" t="str">
        <x:v>ENGINEERING_DEFAULT</x:v>
      </x:c>
      <x:c r="G357" s="54" t="n">
        <x:v>3</x:v>
      </x:c>
      <x:c r="H357" s="54" t="n">
        <x:v>1600</x:v>
      </x:c>
      <x:c r="I357" s="74" t="n">
        <x:f>IF(OR(G357="",H357=""),"",G357/1000*H357)</x:f>
        <x:v>4.8</x:v>
      </x:c>
      <x:c r="J357" s="75" t="n">
        <x:v>5</x:v>
      </x:c>
      <x:c r="K357" s="75" t="n">
        <x:v>0.22</x:v>
      </x:c>
      <x:c r="L357" s="75" t="n">
        <x:v>0.02</x:v>
      </x:c>
      <x:c r="M357" s="75" t="n">
        <x:f>IF(OR(J357="",K357=""),"",J357/(2*(1+K357)))</x:f>
        <x:v>2.0491803278688523</x:v>
      </x:c>
      <x:c r="N357" s="76" t="n">
        <x:f>IF(OR(J357="",H357="",K357=""),"",SQRT(J357*1000000000*(1-K357)/(H357*(1+K357)*(1-2*K357))))</x:f>
        <x:v>1888.8539702272092</x:v>
      </x:c>
      <x:c r="O357" s="75" t="n">
        <x:f>IF(OR(H357="",N357=""),"",H357*N357/1000000)</x:f>
        <x:v>3.0221663523635347</x:v>
      </x:c>
      <x:c r="P357" s="74" t="n">
        <x:f>IF(OR(J357="",G357="",K357=""),"",J357*1000000000*(G357/1000)^3/(12*(1-K357^2)))</x:f>
        <x:v>11.822194199243379</x:v>
      </x:c>
      <x:c r="Q357" s="76" t="n">
        <x:f>IF(OR(I357="",P357=""),"",343.2^2/(2*PI())*SQRT(I357/P357))</x:f>
        <x:v>11945.003027023444</x:v>
      </x:c>
      <x:c r="R357" s="58"/>
      <x:c r="S357" s="62" t="n">
        <x:v>0.8</x:v>
      </x:c>
      <x:c r="T357" s="46" t="str">
        <x:v>20 °C / kuru nominal</x:v>
      </x:c>
      <x:c r="U357" s="46" t="str">
        <x:v>DÜŞÜK-ORTA</x:v>
      </x:c>
      <x:c r="V357" s="46" t="str"/>
      <x:c r="W357" s="50" t="str">
        <x:v>Karışım, su/bağlayıcı oranı, kür, nem ve altlığa göre geniş değişim; proje ürünüyle kalibre edin.</x:v>
      </x:c>
    </x:row>
    <x:row r="358">
      <x:c r="A358" s="46" t="str">
        <x:v>PL-TILE-ADH-5</x:v>
      </x:c>
      <x:c r="B358" s="46" t="str">
        <x:v>Sıva / kaplama</x:v>
      </x:c>
      <x:c r="C358" s="46" t="str">
        <x:v>Çimento esaslı seramik yapıştırıcısı</x:v>
      </x:c>
      <x:c r="D358" s="46" t="str">
        <x:v>GENERIC</x:v>
      </x:c>
      <x:c r="E358" s="46" t="str">
        <x:v>TILE-ADH</x:v>
      </x:c>
      <x:c r="F358" s="70" t="str">
        <x:v>ENGINEERING_DEFAULT</x:v>
      </x:c>
      <x:c r="G358" s="54" t="n">
        <x:v>5</x:v>
      </x:c>
      <x:c r="H358" s="54" t="n">
        <x:v>1600</x:v>
      </x:c>
      <x:c r="I358" s="74" t="n">
        <x:f>IF(OR(G358="",H358=""),"",G358/1000*H358)</x:f>
        <x:v>8</x:v>
      </x:c>
      <x:c r="J358" s="75" t="n">
        <x:v>5</x:v>
      </x:c>
      <x:c r="K358" s="75" t="n">
        <x:v>0.22</x:v>
      </x:c>
      <x:c r="L358" s="75" t="n">
        <x:v>0.02</x:v>
      </x:c>
      <x:c r="M358" s="75" t="n">
        <x:f>IF(OR(J358="",K358=""),"",J358/(2*(1+K358)))</x:f>
        <x:v>2.0491803278688523</x:v>
      </x:c>
      <x:c r="N358" s="76" t="n">
        <x:f>IF(OR(J358="",H358="",K358=""),"",SQRT(J358*1000000000*(1-K358)/(H358*(1+K358)*(1-2*K358))))</x:f>
        <x:v>1888.8539702272092</x:v>
      </x:c>
      <x:c r="O358" s="75" t="n">
        <x:f>IF(OR(H358="",N358=""),"",H358*N358/1000000)</x:f>
        <x:v>3.0221663523635347</x:v>
      </x:c>
      <x:c r="P358" s="74" t="n">
        <x:f>IF(OR(J358="",G358="",K358=""),"",J358*1000000000*(G358/1000)^3/(12*(1-K358^2)))</x:f>
        <x:v>54.732380552052696</x:v>
      </x:c>
      <x:c r="Q358" s="76" t="n">
        <x:f>IF(OR(I358="",P358=""),"",343.2^2/(2*PI())*SQRT(I358/P358))</x:f>
        <x:v>7167.001816214066</x:v>
      </x:c>
      <x:c r="R358" s="58"/>
      <x:c r="S358" s="62" t="n">
        <x:v>0.8</x:v>
      </x:c>
      <x:c r="T358" s="46" t="str">
        <x:v>20 °C / kuru nominal</x:v>
      </x:c>
      <x:c r="U358" s="46" t="str">
        <x:v>DÜŞÜK-ORTA</x:v>
      </x:c>
      <x:c r="V358" s="46" t="str"/>
      <x:c r="W358" s="50" t="str">
        <x:v>Karışım, su/bağlayıcı oranı, kür, nem ve altlığa göre geniş değişim; proje ürünüyle kalibre edin.</x:v>
      </x:c>
    </x:row>
    <x:row r="359">
      <x:c r="A359" s="46" t="str">
        <x:v>PL-TILE-ADH-8</x:v>
      </x:c>
      <x:c r="B359" s="46" t="str">
        <x:v>Sıva / kaplama</x:v>
      </x:c>
      <x:c r="C359" s="46" t="str">
        <x:v>Çimento esaslı seramik yapıştırıcısı</x:v>
      </x:c>
      <x:c r="D359" s="46" t="str">
        <x:v>GENERIC</x:v>
      </x:c>
      <x:c r="E359" s="46" t="str">
        <x:v>TILE-ADH</x:v>
      </x:c>
      <x:c r="F359" s="70" t="str">
        <x:v>ENGINEERING_DEFAULT</x:v>
      </x:c>
      <x:c r="G359" s="54" t="n">
        <x:v>8</x:v>
      </x:c>
      <x:c r="H359" s="54" t="n">
        <x:v>1600</x:v>
      </x:c>
      <x:c r="I359" s="74" t="n">
        <x:f>IF(OR(G359="",H359=""),"",G359/1000*H359)</x:f>
        <x:v>12.8</x:v>
      </x:c>
      <x:c r="J359" s="75" t="n">
        <x:v>5</x:v>
      </x:c>
      <x:c r="K359" s="75" t="n">
        <x:v>0.22</x:v>
      </x:c>
      <x:c r="L359" s="75" t="n">
        <x:v>0.02</x:v>
      </x:c>
      <x:c r="M359" s="75" t="n">
        <x:f>IF(OR(J359="",K359=""),"",J359/(2*(1+K359)))</x:f>
        <x:v>2.0491803278688523</x:v>
      </x:c>
      <x:c r="N359" s="76" t="n">
        <x:f>IF(OR(J359="",H359="",K359=""),"",SQRT(J359*1000000000*(1-K359)/(H359*(1+K359)*(1-2*K359))))</x:f>
        <x:v>1888.8539702272092</x:v>
      </x:c>
      <x:c r="O359" s="75" t="n">
        <x:f>IF(OR(H359="",N359=""),"",H359*N359/1000000)</x:f>
        <x:v>3.0221663523635347</x:v>
      </x:c>
      <x:c r="P359" s="74" t="n">
        <x:f>IF(OR(J359="",G359="",K359=""),"",J359*1000000000*(G359/1000)^3/(12*(1-K359^2)))</x:f>
        <x:v>224.1838307412078</x:v>
      </x:c>
      <x:c r="Q359" s="76" t="n">
        <x:f>IF(OR(I359="",P359=""),"",343.2^2/(2*PI())*SQRT(I359/P359))</x:f>
        <x:v>4479.376135133792</x:v>
      </x:c>
      <x:c r="R359" s="58"/>
      <x:c r="S359" s="62" t="n">
        <x:v>0.8</x:v>
      </x:c>
      <x:c r="T359" s="46" t="str">
        <x:v>20 °C / kuru nominal</x:v>
      </x:c>
      <x:c r="U359" s="46" t="str">
        <x:v>DÜŞÜK-ORTA</x:v>
      </x:c>
      <x:c r="V359" s="46" t="str"/>
      <x:c r="W359" s="50" t="str">
        <x:v>Karışım, su/bağlayıcı oranı, kür, nem ve altlığa göre geniş değişim; proje ürünüyle kalibre edin.</x:v>
      </x:c>
    </x:row>
    <x:row r="360">
      <x:c r="A360" s="46" t="str">
        <x:v>PL-TILE-ADH-10</x:v>
      </x:c>
      <x:c r="B360" s="46" t="str">
        <x:v>Sıva / kaplama</x:v>
      </x:c>
      <x:c r="C360" s="46" t="str">
        <x:v>Çimento esaslı seramik yapıştırıcısı</x:v>
      </x:c>
      <x:c r="D360" s="46" t="str">
        <x:v>GENERIC</x:v>
      </x:c>
      <x:c r="E360" s="46" t="str">
        <x:v>TILE-ADH</x:v>
      </x:c>
      <x:c r="F360" s="70" t="str">
        <x:v>ENGINEERING_DEFAULT</x:v>
      </x:c>
      <x:c r="G360" s="54" t="n">
        <x:v>10</x:v>
      </x:c>
      <x:c r="H360" s="54" t="n">
        <x:v>1600</x:v>
      </x:c>
      <x:c r="I360" s="74" t="n">
        <x:f>IF(OR(G360="",H360=""),"",G360/1000*H360)</x:f>
        <x:v>16</x:v>
      </x:c>
      <x:c r="J360" s="75" t="n">
        <x:v>5</x:v>
      </x:c>
      <x:c r="K360" s="75" t="n">
        <x:v>0.22</x:v>
      </x:c>
      <x:c r="L360" s="75" t="n">
        <x:v>0.02</x:v>
      </x:c>
      <x:c r="M360" s="75" t="n">
        <x:f>IF(OR(J360="",K360=""),"",J360/(2*(1+K360)))</x:f>
        <x:v>2.0491803278688523</x:v>
      </x:c>
      <x:c r="N360" s="76" t="n">
        <x:f>IF(OR(J360="",H360="",K360=""),"",SQRT(J360*1000000000*(1-K360)/(H360*(1+K360)*(1-2*K360))))</x:f>
        <x:v>1888.8539702272092</x:v>
      </x:c>
      <x:c r="O360" s="75" t="n">
        <x:f>IF(OR(H360="",N360=""),"",H360*N360/1000000)</x:f>
        <x:v>3.0221663523635347</x:v>
      </x:c>
      <x:c r="P360" s="74" t="n">
        <x:f>IF(OR(J360="",G360="",K360=""),"",J360*1000000000*(G360/1000)^3/(12*(1-K360^2)))</x:f>
        <x:v>437.85904441642157</x:v>
      </x:c>
      <x:c r="Q360" s="76" t="n">
        <x:f>IF(OR(I360="",P360=""),"",343.2^2/(2*PI())*SQRT(I360/P360))</x:f>
        <x:v>3583.500908107033</x:v>
      </x:c>
      <x:c r="R360" s="58"/>
      <x:c r="S360" s="62" t="n">
        <x:v>0.8</x:v>
      </x:c>
      <x:c r="T360" s="46" t="str">
        <x:v>20 °C / kuru nominal</x:v>
      </x:c>
      <x:c r="U360" s="46" t="str">
        <x:v>DÜŞÜK-ORTA</x:v>
      </x:c>
      <x:c r="V360" s="46" t="str"/>
      <x:c r="W360" s="50" t="str">
        <x:v>Karışım, su/bağlayıcı oranı, kür, nem ve altlığa göre geniş değişim; proje ürünüyle kalibre edin.</x:v>
      </x:c>
    </x:row>
    <x:row r="361">
      <x:c r="A361" s="46" t="str">
        <x:v>PL-BASECOAT-3</x:v>
      </x:c>
      <x:c r="B361" s="46" t="str">
        <x:v>Sıva / kaplama</x:v>
      </x:c>
      <x:c r="C361" s="46" t="str">
        <x:v>Polimer modifiyeli dış cephe baz sıva</x:v>
      </x:c>
      <x:c r="D361" s="46" t="str">
        <x:v>GENERIC</x:v>
      </x:c>
      <x:c r="E361" s="46" t="str">
        <x:v>BASECOAT</x:v>
      </x:c>
      <x:c r="F361" s="70" t="str">
        <x:v>ENGINEERING_DEFAULT</x:v>
      </x:c>
      <x:c r="G361" s="54" t="n">
        <x:v>3</x:v>
      </x:c>
      <x:c r="H361" s="54" t="n">
        <x:v>1400</x:v>
      </x:c>
      <x:c r="I361" s="74" t="n">
        <x:f>IF(OR(G361="",H361=""),"",G361/1000*H361)</x:f>
        <x:v>4.2</x:v>
      </x:c>
      <x:c r="J361" s="75" t="n">
        <x:v>3</x:v>
      </x:c>
      <x:c r="K361" s="75" t="n">
        <x:v>0.25</x:v>
      </x:c>
      <x:c r="L361" s="75" t="n">
        <x:v>0.035</x:v>
      </x:c>
      <x:c r="M361" s="75" t="n">
        <x:f>IF(OR(J361="",K361=""),"",J361/(2*(1+K361)))</x:f>
        <x:v>1.2</x:v>
      </x:c>
      <x:c r="N361" s="76" t="n">
        <x:f>IF(OR(J361="",H361="",K361=""),"",SQRT(J361*1000000000*(1-K361)/(H361*(1+K361)*(1-2*K361))))</x:f>
        <x:v>1603.5674514745463</x:v>
      </x:c>
      <x:c r="O361" s="75" t="n">
        <x:f>IF(OR(H361="",N361=""),"",H361*N361/1000000)</x:f>
        <x:v>2.2449944320643644</x:v>
      </x:c>
      <x:c r="P361" s="74" t="n">
        <x:f>IF(OR(J361="",G361="",K361=""),"",J361*1000000000*(G361/1000)^3/(12*(1-K361^2)))</x:f>
        <x:v>7.2</x:v>
      </x:c>
      <x:c r="Q361" s="76" t="n">
        <x:f>IF(OR(I361="",P361=""),"",343.2^2/(2*PI())*SQRT(I361/P361))</x:f>
        <x:v>14317.694349697242</x:v>
      </x:c>
      <x:c r="R361" s="58"/>
      <x:c r="S361" s="62" t="n">
        <x:v>0.6</x:v>
      </x:c>
      <x:c r="T361" s="46" t="str">
        <x:v>20 °C / kuru nominal</x:v>
      </x:c>
      <x:c r="U361" s="46" t="str">
        <x:v>DÜŞÜK-ORTA</x:v>
      </x:c>
      <x:c r="V361" s="46" t="str"/>
      <x:c r="W361" s="50" t="str">
        <x:v>Karışım, su/bağlayıcı oranı, kür, nem ve altlığa göre geniş değişim; proje ürünüyle kalibre edin.</x:v>
      </x:c>
    </x:row>
    <x:row r="362">
      <x:c r="A362" s="46" t="str">
        <x:v>PL-BASECOAT-5</x:v>
      </x:c>
      <x:c r="B362" s="46" t="str">
        <x:v>Sıva / kaplama</x:v>
      </x:c>
      <x:c r="C362" s="46" t="str">
        <x:v>Polimer modifiyeli dış cephe baz sıva</x:v>
      </x:c>
      <x:c r="D362" s="46" t="str">
        <x:v>GENERIC</x:v>
      </x:c>
      <x:c r="E362" s="46" t="str">
        <x:v>BASECOAT</x:v>
      </x:c>
      <x:c r="F362" s="70" t="str">
        <x:v>ENGINEERING_DEFAULT</x:v>
      </x:c>
      <x:c r="G362" s="54" t="n">
        <x:v>5</x:v>
      </x:c>
      <x:c r="H362" s="54" t="n">
        <x:v>1400</x:v>
      </x:c>
      <x:c r="I362" s="74" t="n">
        <x:f>IF(OR(G362="",H362=""),"",G362/1000*H362)</x:f>
        <x:v>7</x:v>
      </x:c>
      <x:c r="J362" s="75" t="n">
        <x:v>3</x:v>
      </x:c>
      <x:c r="K362" s="75" t="n">
        <x:v>0.25</x:v>
      </x:c>
      <x:c r="L362" s="75" t="n">
        <x:v>0.035</x:v>
      </x:c>
      <x:c r="M362" s="75" t="n">
        <x:f>IF(OR(J362="",K362=""),"",J362/(2*(1+K362)))</x:f>
        <x:v>1.2</x:v>
      </x:c>
      <x:c r="N362" s="76" t="n">
        <x:f>IF(OR(J362="",H362="",K362=""),"",SQRT(J362*1000000000*(1-K362)/(H362*(1+K362)*(1-2*K362))))</x:f>
        <x:v>1603.5674514745463</x:v>
      </x:c>
      <x:c r="O362" s="75" t="n">
        <x:f>IF(OR(H362="",N362=""),"",H362*N362/1000000)</x:f>
        <x:v>2.2449944320643644</x:v>
      </x:c>
      <x:c r="P362" s="74" t="n">
        <x:f>IF(OR(J362="",G362="",K362=""),"",J362*1000000000*(G362/1000)^3/(12*(1-K362^2)))</x:f>
        <x:v>33.333333333333336</x:v>
      </x:c>
      <x:c r="Q362" s="76" t="n">
        <x:f>IF(OR(I362="",P362=""),"",343.2^2/(2*PI())*SQRT(I362/P362))</x:f>
        <x:v>8590.616609818344</x:v>
      </x:c>
      <x:c r="R362" s="58"/>
      <x:c r="S362" s="62" t="n">
        <x:v>0.6</x:v>
      </x:c>
      <x:c r="T362" s="46" t="str">
        <x:v>20 °C / kuru nominal</x:v>
      </x:c>
      <x:c r="U362" s="46" t="str">
        <x:v>DÜŞÜK-ORTA</x:v>
      </x:c>
      <x:c r="V362" s="46" t="str"/>
      <x:c r="W362" s="50" t="str">
        <x:v>Karışım, su/bağlayıcı oranı, kür, nem ve altlığa göre geniş değişim; proje ürünüyle kalibre edin.</x:v>
      </x:c>
    </x:row>
    <x:row r="363">
      <x:c r="A363" s="46" t="str">
        <x:v>PL-BASECOAT-8</x:v>
      </x:c>
      <x:c r="B363" s="46" t="str">
        <x:v>Sıva / kaplama</x:v>
      </x:c>
      <x:c r="C363" s="46" t="str">
        <x:v>Polimer modifiyeli dış cephe baz sıva</x:v>
      </x:c>
      <x:c r="D363" s="46" t="str">
        <x:v>GENERIC</x:v>
      </x:c>
      <x:c r="E363" s="46" t="str">
        <x:v>BASECOAT</x:v>
      </x:c>
      <x:c r="F363" s="70" t="str">
        <x:v>ENGINEERING_DEFAULT</x:v>
      </x:c>
      <x:c r="G363" s="54" t="n">
        <x:v>8</x:v>
      </x:c>
      <x:c r="H363" s="54" t="n">
        <x:v>1400</x:v>
      </x:c>
      <x:c r="I363" s="74" t="n">
        <x:f>IF(OR(G363="",H363=""),"",G363/1000*H363)</x:f>
        <x:v>11.200000000000001</x:v>
      </x:c>
      <x:c r="J363" s="75" t="n">
        <x:v>3</x:v>
      </x:c>
      <x:c r="K363" s="75" t="n">
        <x:v>0.25</x:v>
      </x:c>
      <x:c r="L363" s="75" t="n">
        <x:v>0.035</x:v>
      </x:c>
      <x:c r="M363" s="75" t="n">
        <x:f>IF(OR(J363="",K363=""),"",J363/(2*(1+K363)))</x:f>
        <x:v>1.2</x:v>
      </x:c>
      <x:c r="N363" s="76" t="n">
        <x:f>IF(OR(J363="",H363="",K363=""),"",SQRT(J363*1000000000*(1-K363)/(H363*(1+K363)*(1-2*K363))))</x:f>
        <x:v>1603.5674514745463</x:v>
      </x:c>
      <x:c r="O363" s="75" t="n">
        <x:f>IF(OR(H363="",N363=""),"",H363*N363/1000000)</x:f>
        <x:v>2.2449944320643644</x:v>
      </x:c>
      <x:c r="P363" s="74" t="n">
        <x:f>IF(OR(J363="",G363="",K363=""),"",J363*1000000000*(G363/1000)^3/(12*(1-K363^2)))</x:f>
        <x:v>136.53333333333333</x:v>
      </x:c>
      <x:c r="Q363" s="76" t="n">
        <x:f>IF(OR(I363="",P363=""),"",343.2^2/(2*PI())*SQRT(I363/P363))</x:f>
        <x:v>5369.135381136466</x:v>
      </x:c>
      <x:c r="R363" s="58"/>
      <x:c r="S363" s="62" t="n">
        <x:v>0.6</x:v>
      </x:c>
      <x:c r="T363" s="46" t="str">
        <x:v>20 °C / kuru nominal</x:v>
      </x:c>
      <x:c r="U363" s="46" t="str">
        <x:v>DÜŞÜK-ORTA</x:v>
      </x:c>
      <x:c r="V363" s="46" t="str"/>
      <x:c r="W363" s="50" t="str">
        <x:v>Karışım, su/bağlayıcı oranı, kür, nem ve altlığa göre geniş değişim; proje ürünüyle kalibre edin.</x:v>
      </x:c>
    </x:row>
    <x:row r="364">
      <x:c r="A364" s="46" t="str">
        <x:v>WL-FIBRE-CEMENT-6</x:v>
      </x:c>
      <x:c r="B364" s="46" t="str">
        <x:v>Diğer rijit duvar katmanı</x:v>
      </x:c>
      <x:c r="C364" s="46" t="str">
        <x:v>Lifli çimento levha</x:v>
      </x:c>
      <x:c r="D364" s="46" t="str">
        <x:v>GENERIC</x:v>
      </x:c>
      <x:c r="E364" s="46" t="str">
        <x:v>FIBRE-CEMENT</x:v>
      </x:c>
      <x:c r="F364" s="70" t="str">
        <x:v>ENGINEERING_DEFAULT</x:v>
      </x:c>
      <x:c r="G364" s="54" t="n">
        <x:v>6</x:v>
      </x:c>
      <x:c r="H364" s="54" t="n">
        <x:v>1400</x:v>
      </x:c>
      <x:c r="I364" s="74" t="n">
        <x:f>IF(OR(G364="",H364=""),"",G364/1000*H364)</x:f>
        <x:v>8.4</x:v>
      </x:c>
      <x:c r="J364" s="75" t="n">
        <x:v>8</x:v>
      </x:c>
      <x:c r="K364" s="75" t="n">
        <x:v>0.2</x:v>
      </x:c>
      <x:c r="L364" s="75" t="n">
        <x:v>0.015</x:v>
      </x:c>
      <x:c r="M364" s="75" t="n">
        <x:f>IF(OR(J364="",K364=""),"",J364/(2*(1+K364)))</x:f>
        <x:v>3.3333333333333335</x:v>
      </x:c>
      <x:c r="N364" s="76" t="n">
        <x:f>IF(OR(J364="",H364="",K364=""),"",SQRT(J364*1000000000*(1-K364)/(H364*(1+K364)*(1-2*K364))))</x:f>
        <x:v>2519.763153394848</x:v>
      </x:c>
      <x:c r="O364" s="75" t="n">
        <x:f>IF(OR(H364="",N364=""),"",H364*N364/1000000)</x:f>
        <x:v>3.527668414752787</x:v>
      </x:c>
      <x:c r="P364" s="74" t="n">
        <x:f>IF(OR(J364="",G364="",K364=""),"",J364*1000000000*(G364/1000)^3/(12*(1-K364^2)))</x:f>
        <x:v>150</x:v>
      </x:c>
      <x:c r="Q364" s="76" t="n">
        <x:f>IF(OR(I364="",P364=""),"",343.2^2/(2*PI())*SQRT(I364/P364))</x:f>
        <x:v>4436.175341797236</x:v>
      </x:c>
      <x:c r="R364" s="58"/>
      <x:c r="S364" s="62" t="n">
        <x:v>0.35</x:v>
      </x:c>
      <x:c r="T364" s="46" t="str">
        <x:v>20 °C / kuru nominal</x:v>
      </x:c>
      <x:c r="U364" s="46" t="str">
        <x:v>DÜŞÜK-ORTA</x:v>
      </x:c>
      <x:c r="V364" s="46" t="str"/>
      <x:c r="W364" s="50" t="str">
        <x:v>Ortogonal/katmanlı ürünlerde tek izotropik E yaklaşımı sınırlıdır; yön bağımlılığı ve bağlantılar ayrıca modellenmelidir.</x:v>
      </x:c>
    </x:row>
    <x:row r="365">
      <x:c r="A365" s="46" t="str">
        <x:v>WL-FIBRE-CEMENT-8</x:v>
      </x:c>
      <x:c r="B365" s="46" t="str">
        <x:v>Diğer rijit duvar katmanı</x:v>
      </x:c>
      <x:c r="C365" s="46" t="str">
        <x:v>Lifli çimento levha</x:v>
      </x:c>
      <x:c r="D365" s="46" t="str">
        <x:v>GENERIC</x:v>
      </x:c>
      <x:c r="E365" s="46" t="str">
        <x:v>FIBRE-CEMENT</x:v>
      </x:c>
      <x:c r="F365" s="70" t="str">
        <x:v>ENGINEERING_DEFAULT</x:v>
      </x:c>
      <x:c r="G365" s="54" t="n">
        <x:v>8</x:v>
      </x:c>
      <x:c r="H365" s="54" t="n">
        <x:v>1400</x:v>
      </x:c>
      <x:c r="I365" s="74" t="n">
        <x:f>IF(OR(G365="",H365=""),"",G365/1000*H365)</x:f>
        <x:v>11.200000000000001</x:v>
      </x:c>
      <x:c r="J365" s="75" t="n">
        <x:v>8</x:v>
      </x:c>
      <x:c r="K365" s="75" t="n">
        <x:v>0.2</x:v>
      </x:c>
      <x:c r="L365" s="75" t="n">
        <x:v>0.015</x:v>
      </x:c>
      <x:c r="M365" s="75" t="n">
        <x:f>IF(OR(J365="",K365=""),"",J365/(2*(1+K365)))</x:f>
        <x:v>3.3333333333333335</x:v>
      </x:c>
      <x:c r="N365" s="76" t="n">
        <x:f>IF(OR(J365="",H365="",K365=""),"",SQRT(J365*1000000000*(1-K365)/(H365*(1+K365)*(1-2*K365))))</x:f>
        <x:v>2519.763153394848</x:v>
      </x:c>
      <x:c r="O365" s="75" t="n">
        <x:f>IF(OR(H365="",N365=""),"",H365*N365/1000000)</x:f>
        <x:v>3.527668414752787</x:v>
      </x:c>
      <x:c r="P365" s="74" t="n">
        <x:f>IF(OR(J365="",G365="",K365=""),"",J365*1000000000*(G365/1000)^3/(12*(1-K365^2)))</x:f>
        <x:v>355.55555555555554</x:v>
      </x:c>
      <x:c r="Q365" s="76" t="n">
        <x:f>IF(OR(I365="",P365=""),"",343.2^2/(2*PI())*SQRT(I365/P365))</x:f>
        <x:v>3327.131506347927</x:v>
      </x:c>
      <x:c r="R365" s="58"/>
      <x:c r="S365" s="62" t="n">
        <x:v>0.35</x:v>
      </x:c>
      <x:c r="T365" s="46" t="str">
        <x:v>20 °C / kuru nominal</x:v>
      </x:c>
      <x:c r="U365" s="46" t="str">
        <x:v>DÜŞÜK-ORTA</x:v>
      </x:c>
      <x:c r="V365" s="46" t="str"/>
      <x:c r="W365" s="50" t="str">
        <x:v>Ortogonal/katmanlı ürünlerde tek izotropik E yaklaşımı sınırlıdır; yön bağımlılığı ve bağlantılar ayrıca modellenmelidir.</x:v>
      </x:c>
    </x:row>
    <x:row r="366">
      <x:c r="A366" s="46" t="str">
        <x:v>WL-FIBRE-CEMENT-10</x:v>
      </x:c>
      <x:c r="B366" s="46" t="str">
        <x:v>Diğer rijit duvar katmanı</x:v>
      </x:c>
      <x:c r="C366" s="46" t="str">
        <x:v>Lifli çimento levha</x:v>
      </x:c>
      <x:c r="D366" s="46" t="str">
        <x:v>GENERIC</x:v>
      </x:c>
      <x:c r="E366" s="46" t="str">
        <x:v>FIBRE-CEMENT</x:v>
      </x:c>
      <x:c r="F366" s="70" t="str">
        <x:v>ENGINEERING_DEFAULT</x:v>
      </x:c>
      <x:c r="G366" s="54" t="n">
        <x:v>10</x:v>
      </x:c>
      <x:c r="H366" s="54" t="n">
        <x:v>1400</x:v>
      </x:c>
      <x:c r="I366" s="74" t="n">
        <x:f>IF(OR(G366="",H366=""),"",G366/1000*H366)</x:f>
        <x:v>14</x:v>
      </x:c>
      <x:c r="J366" s="75" t="n">
        <x:v>8</x:v>
      </x:c>
      <x:c r="K366" s="75" t="n">
        <x:v>0.2</x:v>
      </x:c>
      <x:c r="L366" s="75" t="n">
        <x:v>0.015</x:v>
      </x:c>
      <x:c r="M366" s="75" t="n">
        <x:f>IF(OR(J366="",K366=""),"",J366/(2*(1+K366)))</x:f>
        <x:v>3.3333333333333335</x:v>
      </x:c>
      <x:c r="N366" s="76" t="n">
        <x:f>IF(OR(J366="",H366="",K366=""),"",SQRT(J366*1000000000*(1-K366)/(H366*(1+K366)*(1-2*K366))))</x:f>
        <x:v>2519.763153394848</x:v>
      </x:c>
      <x:c r="O366" s="75" t="n">
        <x:f>IF(OR(H366="",N366=""),"",H366*N366/1000000)</x:f>
        <x:v>3.527668414752787</x:v>
      </x:c>
      <x:c r="P366" s="74" t="n">
        <x:f>IF(OR(J366="",G366="",K366=""),"",J366*1000000000*(G366/1000)^3/(12*(1-K366^2)))</x:f>
        <x:v>694.4444444444446</x:v>
      </x:c>
      <x:c r="Q366" s="76" t="n">
        <x:f>IF(OR(I366="",P366=""),"",343.2^2/(2*PI())*SQRT(I366/P366))</x:f>
        <x:v>2661.705205078341</x:v>
      </x:c>
      <x:c r="R366" s="58"/>
      <x:c r="S366" s="62" t="n">
        <x:v>0.35</x:v>
      </x:c>
      <x:c r="T366" s="46" t="str">
        <x:v>20 °C / kuru nominal</x:v>
      </x:c>
      <x:c r="U366" s="46" t="str">
        <x:v>DÜŞÜK-ORTA</x:v>
      </x:c>
      <x:c r="V366" s="46" t="str"/>
      <x:c r="W366" s="50" t="str">
        <x:v>Ortogonal/katmanlı ürünlerde tek izotropik E yaklaşımı sınırlıdır; yön bağımlılığı ve bağlantılar ayrıca modellenmelidir.</x:v>
      </x:c>
    </x:row>
    <x:row r="367">
      <x:c r="A367" s="46" t="str">
        <x:v>WL-FIBRE-CEMENT-12p5</x:v>
      </x:c>
      <x:c r="B367" s="46" t="str">
        <x:v>Diğer rijit duvar katmanı</x:v>
      </x:c>
      <x:c r="C367" s="46" t="str">
        <x:v>Lifli çimento levha</x:v>
      </x:c>
      <x:c r="D367" s="46" t="str">
        <x:v>GENERIC</x:v>
      </x:c>
      <x:c r="E367" s="46" t="str">
        <x:v>FIBRE-CEMENT</x:v>
      </x:c>
      <x:c r="F367" s="70" t="str">
        <x:v>ENGINEERING_DEFAULT</x:v>
      </x:c>
      <x:c r="G367" s="54" t="n">
        <x:v>12.5</x:v>
      </x:c>
      <x:c r="H367" s="54" t="n">
        <x:v>1400</x:v>
      </x:c>
      <x:c r="I367" s="74" t="n">
        <x:f>IF(OR(G367="",H367=""),"",G367/1000*H367)</x:f>
        <x:v>17.5</x:v>
      </x:c>
      <x:c r="J367" s="75" t="n">
        <x:v>8</x:v>
      </x:c>
      <x:c r="K367" s="75" t="n">
        <x:v>0.2</x:v>
      </x:c>
      <x:c r="L367" s="75" t="n">
        <x:v>0.015</x:v>
      </x:c>
      <x:c r="M367" s="75" t="n">
        <x:f>IF(OR(J367="",K367=""),"",J367/(2*(1+K367)))</x:f>
        <x:v>3.3333333333333335</x:v>
      </x:c>
      <x:c r="N367" s="76" t="n">
        <x:f>IF(OR(J367="",H367="",K367=""),"",SQRT(J367*1000000000*(1-K367)/(H367*(1+K367)*(1-2*K367))))</x:f>
        <x:v>2519.763153394848</x:v>
      </x:c>
      <x:c r="O367" s="75" t="n">
        <x:f>IF(OR(H367="",N367=""),"",H367*N367/1000000)</x:f>
        <x:v>3.527668414752787</x:v>
      </x:c>
      <x:c r="P367" s="74" t="n">
        <x:f>IF(OR(J367="",G367="",K367=""),"",J367*1000000000*(G367/1000)^3/(12*(1-K367^2)))</x:f>
        <x:v>1356.3368055555559</x:v>
      </x:c>
      <x:c r="Q367" s="76" t="n">
        <x:f>IF(OR(I367="",P367=""),"",343.2^2/(2*PI())*SQRT(I367/P367))</x:f>
        <x:v>2129.364164062673</x:v>
      </x:c>
      <x:c r="R367" s="58"/>
      <x:c r="S367" s="62" t="n">
        <x:v>0.35</x:v>
      </x:c>
      <x:c r="T367" s="46" t="str">
        <x:v>20 °C / kuru nominal</x:v>
      </x:c>
      <x:c r="U367" s="46" t="str">
        <x:v>DÜŞÜK-ORTA</x:v>
      </x:c>
      <x:c r="V367" s="46" t="str"/>
      <x:c r="W367" s="50" t="str">
        <x:v>Ortogonal/katmanlı ürünlerde tek izotropik E yaklaşımı sınırlıdır; yön bağımlılığı ve bağlantılar ayrıca modellenmelidir.</x:v>
      </x:c>
    </x:row>
    <x:row r="368">
      <x:c r="A368" s="46" t="str">
        <x:v>WL-FIBRE-CEMENT-15</x:v>
      </x:c>
      <x:c r="B368" s="46" t="str">
        <x:v>Diğer rijit duvar katmanı</x:v>
      </x:c>
      <x:c r="C368" s="46" t="str">
        <x:v>Lifli çimento levha</x:v>
      </x:c>
      <x:c r="D368" s="46" t="str">
        <x:v>GENERIC</x:v>
      </x:c>
      <x:c r="E368" s="46" t="str">
        <x:v>FIBRE-CEMENT</x:v>
      </x:c>
      <x:c r="F368" s="70" t="str">
        <x:v>ENGINEERING_DEFAULT</x:v>
      </x:c>
      <x:c r="G368" s="54" t="n">
        <x:v>15</x:v>
      </x:c>
      <x:c r="H368" s="54" t="n">
        <x:v>1400</x:v>
      </x:c>
      <x:c r="I368" s="74" t="n">
        <x:f>IF(OR(G368="",H368=""),"",G368/1000*H368)</x:f>
        <x:v>21</x:v>
      </x:c>
      <x:c r="J368" s="75" t="n">
        <x:v>8</x:v>
      </x:c>
      <x:c r="K368" s="75" t="n">
        <x:v>0.2</x:v>
      </x:c>
      <x:c r="L368" s="75" t="n">
        <x:v>0.015</x:v>
      </x:c>
      <x:c r="M368" s="75" t="n">
        <x:f>IF(OR(J368="",K368=""),"",J368/(2*(1+K368)))</x:f>
        <x:v>3.3333333333333335</x:v>
      </x:c>
      <x:c r="N368" s="76" t="n">
        <x:f>IF(OR(J368="",H368="",K368=""),"",SQRT(J368*1000000000*(1-K368)/(H368*(1+K368)*(1-2*K368))))</x:f>
        <x:v>2519.763153394848</x:v>
      </x:c>
      <x:c r="O368" s="75" t="n">
        <x:f>IF(OR(H368="",N368=""),"",H368*N368/1000000)</x:f>
        <x:v>3.527668414752787</x:v>
      </x:c>
      <x:c r="P368" s="74" t="n">
        <x:f>IF(OR(J368="",G368="",K368=""),"",J368*1000000000*(G368/1000)^3/(12*(1-K368^2)))</x:f>
        <x:v>2343.75</x:v>
      </x:c>
      <x:c r="Q368" s="76" t="n">
        <x:f>IF(OR(I368="",P368=""),"",343.2^2/(2*PI())*SQRT(I368/P368))</x:f>
        <x:v>1774.470136718894</x:v>
      </x:c>
      <x:c r="R368" s="58"/>
      <x:c r="S368" s="62" t="n">
        <x:v>0.35</x:v>
      </x:c>
      <x:c r="T368" s="46" t="str">
        <x:v>20 °C / kuru nominal</x:v>
      </x:c>
      <x:c r="U368" s="46" t="str">
        <x:v>DÜŞÜK-ORTA</x:v>
      </x:c>
      <x:c r="V368" s="46" t="str"/>
      <x:c r="W368" s="50" t="str">
        <x:v>Ortogonal/katmanlı ürünlerde tek izotropik E yaklaşımı sınırlıdır; yön bağımlılığı ve bağlantılar ayrıca modellenmelidir.</x:v>
      </x:c>
    </x:row>
    <x:row r="369">
      <x:c r="A369" s="46" t="str">
        <x:v>WL-CEMENT-BOARD-8</x:v>
      </x:c>
      <x:c r="B369" s="46" t="str">
        <x:v>Diğer rijit duvar katmanı</x:v>
      </x:c>
      <x:c r="C369" s="46" t="str">
        <x:v>Çimento levha</x:v>
      </x:c>
      <x:c r="D369" s="46" t="str">
        <x:v>GENERIC</x:v>
      </x:c>
      <x:c r="E369" s="46" t="str">
        <x:v>CEMENT-BOARD</x:v>
      </x:c>
      <x:c r="F369" s="70" t="str">
        <x:v>ENGINEERING_DEFAULT</x:v>
      </x:c>
      <x:c r="G369" s="54" t="n">
        <x:v>8</x:v>
      </x:c>
      <x:c r="H369" s="54" t="n">
        <x:v>1100</x:v>
      </x:c>
      <x:c r="I369" s="74" t="n">
        <x:f>IF(OR(G369="",H369=""),"",G369/1000*H369)</x:f>
        <x:v>8.8</x:v>
      </x:c>
      <x:c r="J369" s="75" t="n">
        <x:v>5</x:v>
      </x:c>
      <x:c r="K369" s="75" t="n">
        <x:v>0.2</x:v>
      </x:c>
      <x:c r="L369" s="75" t="n">
        <x:v>0.02</x:v>
      </x:c>
      <x:c r="M369" s="75" t="n">
        <x:f>IF(OR(J369="",K369=""),"",J369/(2*(1+K369)))</x:f>
        <x:v>2.0833333333333335</x:v>
      </x:c>
      <x:c r="N369" s="76" t="n">
        <x:f>IF(OR(J369="",H369="",K369=""),"",SQRT(J369*1000000000*(1-K369)/(H369*(1+K369)*(1-2*K369))))</x:f>
        <x:v>2247.3328748774734</x:v>
      </x:c>
      <x:c r="O369" s="75" t="n">
        <x:f>IF(OR(H369="",N369=""),"",H369*N369/1000000)</x:f>
        <x:v>2.472066162365221</x:v>
      </x:c>
      <x:c r="P369" s="74" t="n">
        <x:f>IF(OR(J369="",G369="",K369=""),"",J369*1000000000*(G369/1000)^3/(12*(1-K369^2)))</x:f>
        <x:v>222.22222222222223</x:v>
      </x:c>
      <x:c r="Q369" s="76" t="n">
        <x:f>IF(OR(I369="",P369=""),"",343.2^2/(2*PI())*SQRT(I369/P369))</x:f>
        <x:v>3730.4591010584863</x:v>
      </x:c>
      <x:c r="R369" s="58"/>
      <x:c r="S369" s="62" t="n">
        <x:v>0.35</x:v>
      </x:c>
      <x:c r="T369" s="46" t="str">
        <x:v>20 °C / kuru nominal</x:v>
      </x:c>
      <x:c r="U369" s="46" t="str">
        <x:v>DÜŞÜK-ORTA</x:v>
      </x:c>
      <x:c r="V369" s="46" t="str"/>
      <x:c r="W369" s="50" t="str">
        <x:v>Ortogonal/katmanlı ürünlerde tek izotropik E yaklaşımı sınırlıdır; yön bağımlılığı ve bağlantılar ayrıca modellenmelidir.</x:v>
      </x:c>
    </x:row>
    <x:row r="370">
      <x:c r="A370" s="46" t="str">
        <x:v>WL-CEMENT-BOARD-10</x:v>
      </x:c>
      <x:c r="B370" s="46" t="str">
        <x:v>Diğer rijit duvar katmanı</x:v>
      </x:c>
      <x:c r="C370" s="46" t="str">
        <x:v>Çimento levha</x:v>
      </x:c>
      <x:c r="D370" s="46" t="str">
        <x:v>GENERIC</x:v>
      </x:c>
      <x:c r="E370" s="46" t="str">
        <x:v>CEMENT-BOARD</x:v>
      </x:c>
      <x:c r="F370" s="70" t="str">
        <x:v>ENGINEERING_DEFAULT</x:v>
      </x:c>
      <x:c r="G370" s="54" t="n">
        <x:v>10</x:v>
      </x:c>
      <x:c r="H370" s="54" t="n">
        <x:v>1100</x:v>
      </x:c>
      <x:c r="I370" s="74" t="n">
        <x:f>IF(OR(G370="",H370=""),"",G370/1000*H370)</x:f>
        <x:v>11</x:v>
      </x:c>
      <x:c r="J370" s="75" t="n">
        <x:v>5</x:v>
      </x:c>
      <x:c r="K370" s="75" t="n">
        <x:v>0.2</x:v>
      </x:c>
      <x:c r="L370" s="75" t="n">
        <x:v>0.02</x:v>
      </x:c>
      <x:c r="M370" s="75" t="n">
        <x:f>IF(OR(J370="",K370=""),"",J370/(2*(1+K370)))</x:f>
        <x:v>2.0833333333333335</x:v>
      </x:c>
      <x:c r="N370" s="76" t="n">
        <x:f>IF(OR(J370="",H370="",K370=""),"",SQRT(J370*1000000000*(1-K370)/(H370*(1+K370)*(1-2*K370))))</x:f>
        <x:v>2247.3328748774734</x:v>
      </x:c>
      <x:c r="O370" s="75" t="n">
        <x:f>IF(OR(H370="",N370=""),"",H370*N370/1000000)</x:f>
        <x:v>2.472066162365221</x:v>
      </x:c>
      <x:c r="P370" s="74" t="n">
        <x:f>IF(OR(J370="",G370="",K370=""),"",J370*1000000000*(G370/1000)^3/(12*(1-K370^2)))</x:f>
        <x:v>434.0277777777779</x:v>
      </x:c>
      <x:c r="Q370" s="76" t="n">
        <x:f>IF(OR(I370="",P370=""),"",343.2^2/(2*PI())*SQRT(I370/P370))</x:f>
        <x:v>2984.367280846788</x:v>
      </x:c>
      <x:c r="R370" s="58"/>
      <x:c r="S370" s="62" t="n">
        <x:v>0.35</x:v>
      </x:c>
      <x:c r="T370" s="46" t="str">
        <x:v>20 °C / kuru nominal</x:v>
      </x:c>
      <x:c r="U370" s="46" t="str">
        <x:v>DÜŞÜK-ORTA</x:v>
      </x:c>
      <x:c r="V370" s="46" t="str"/>
      <x:c r="W370" s="50" t="str">
        <x:v>Ortogonal/katmanlı ürünlerde tek izotropik E yaklaşımı sınırlıdır; yön bağımlılığı ve bağlantılar ayrıca modellenmelidir.</x:v>
      </x:c>
    </x:row>
    <x:row r="371">
      <x:c r="A371" s="46" t="str">
        <x:v>WL-CEMENT-BOARD-12p5</x:v>
      </x:c>
      <x:c r="B371" s="46" t="str">
        <x:v>Diğer rijit duvar katmanı</x:v>
      </x:c>
      <x:c r="C371" s="46" t="str">
        <x:v>Çimento levha</x:v>
      </x:c>
      <x:c r="D371" s="46" t="str">
        <x:v>GENERIC</x:v>
      </x:c>
      <x:c r="E371" s="46" t="str">
        <x:v>CEMENT-BOARD</x:v>
      </x:c>
      <x:c r="F371" s="70" t="str">
        <x:v>ENGINEERING_DEFAULT</x:v>
      </x:c>
      <x:c r="G371" s="54" t="n">
        <x:v>12.5</x:v>
      </x:c>
      <x:c r="H371" s="54" t="n">
        <x:v>1100</x:v>
      </x:c>
      <x:c r="I371" s="74" t="n">
        <x:f>IF(OR(G371="",H371=""),"",G371/1000*H371)</x:f>
        <x:v>13.75</x:v>
      </x:c>
      <x:c r="J371" s="75" t="n">
        <x:v>5</x:v>
      </x:c>
      <x:c r="K371" s="75" t="n">
        <x:v>0.2</x:v>
      </x:c>
      <x:c r="L371" s="75" t="n">
        <x:v>0.02</x:v>
      </x:c>
      <x:c r="M371" s="75" t="n">
        <x:f>IF(OR(J371="",K371=""),"",J371/(2*(1+K371)))</x:f>
        <x:v>2.0833333333333335</x:v>
      </x:c>
      <x:c r="N371" s="76" t="n">
        <x:f>IF(OR(J371="",H371="",K371=""),"",SQRT(J371*1000000000*(1-K371)/(H371*(1+K371)*(1-2*K371))))</x:f>
        <x:v>2247.3328748774734</x:v>
      </x:c>
      <x:c r="O371" s="75" t="n">
        <x:f>IF(OR(H371="",N371=""),"",H371*N371/1000000)</x:f>
        <x:v>2.472066162365221</x:v>
      </x:c>
      <x:c r="P371" s="74" t="n">
        <x:f>IF(OR(J371="",G371="",K371=""),"",J371*1000000000*(G371/1000)^3/(12*(1-K371^2)))</x:f>
        <x:v>847.7105034722224</x:v>
      </x:c>
      <x:c r="Q371" s="76" t="n">
        <x:f>IF(OR(I371="",P371=""),"",343.2^2/(2*PI())*SQRT(I371/P371))</x:f>
        <x:v>2387.493824677431</x:v>
      </x:c>
      <x:c r="R371" s="58"/>
      <x:c r="S371" s="62" t="n">
        <x:v>0.35</x:v>
      </x:c>
      <x:c r="T371" s="46" t="str">
        <x:v>20 °C / kuru nominal</x:v>
      </x:c>
      <x:c r="U371" s="46" t="str">
        <x:v>DÜŞÜK-ORTA</x:v>
      </x:c>
      <x:c r="V371" s="46" t="str"/>
      <x:c r="W371" s="50" t="str">
        <x:v>Ortogonal/katmanlı ürünlerde tek izotropik E yaklaşımı sınırlıdır; yön bağımlılığı ve bağlantılar ayrıca modellenmelidir.</x:v>
      </x:c>
    </x:row>
    <x:row r="372">
      <x:c r="A372" s="46" t="str">
        <x:v>WL-CEMENT-BOARD-15</x:v>
      </x:c>
      <x:c r="B372" s="46" t="str">
        <x:v>Diğer rijit duvar katmanı</x:v>
      </x:c>
      <x:c r="C372" s="46" t="str">
        <x:v>Çimento levha</x:v>
      </x:c>
      <x:c r="D372" s="46" t="str">
        <x:v>GENERIC</x:v>
      </x:c>
      <x:c r="E372" s="46" t="str">
        <x:v>CEMENT-BOARD</x:v>
      </x:c>
      <x:c r="F372" s="70" t="str">
        <x:v>ENGINEERING_DEFAULT</x:v>
      </x:c>
      <x:c r="G372" s="54" t="n">
        <x:v>15</x:v>
      </x:c>
      <x:c r="H372" s="54" t="n">
        <x:v>1100</x:v>
      </x:c>
      <x:c r="I372" s="74" t="n">
        <x:f>IF(OR(G372="",H372=""),"",G372/1000*H372)</x:f>
        <x:v>16.5</x:v>
      </x:c>
      <x:c r="J372" s="75" t="n">
        <x:v>5</x:v>
      </x:c>
      <x:c r="K372" s="75" t="n">
        <x:v>0.2</x:v>
      </x:c>
      <x:c r="L372" s="75" t="n">
        <x:v>0.02</x:v>
      </x:c>
      <x:c r="M372" s="75" t="n">
        <x:f>IF(OR(J372="",K372=""),"",J372/(2*(1+K372)))</x:f>
        <x:v>2.0833333333333335</x:v>
      </x:c>
      <x:c r="N372" s="76" t="n">
        <x:f>IF(OR(J372="",H372="",K372=""),"",SQRT(J372*1000000000*(1-K372)/(H372*(1+K372)*(1-2*K372))))</x:f>
        <x:v>2247.3328748774734</x:v>
      </x:c>
      <x:c r="O372" s="75" t="n">
        <x:f>IF(OR(H372="",N372=""),"",H372*N372/1000000)</x:f>
        <x:v>2.472066162365221</x:v>
      </x:c>
      <x:c r="P372" s="74" t="n">
        <x:f>IF(OR(J372="",G372="",K372=""),"",J372*1000000000*(G372/1000)^3/(12*(1-K372^2)))</x:f>
        <x:v>1464.84375</x:v>
      </x:c>
      <x:c r="Q372" s="76" t="n">
        <x:f>IF(OR(I372="",P372=""),"",343.2^2/(2*PI())*SQRT(I372/P372))</x:f>
        <x:v>1989.5781872311925</x:v>
      </x:c>
      <x:c r="R372" s="58"/>
      <x:c r="S372" s="62" t="n">
        <x:v>0.35</x:v>
      </x:c>
      <x:c r="T372" s="46" t="str">
        <x:v>20 °C / kuru nominal</x:v>
      </x:c>
      <x:c r="U372" s="46" t="str">
        <x:v>DÜŞÜK-ORTA</x:v>
      </x:c>
      <x:c r="V372" s="46" t="str"/>
      <x:c r="W372" s="50" t="str">
        <x:v>Ortogonal/katmanlı ürünlerde tek izotropik E yaklaşımı sınırlıdır; yön bağımlılığı ve bağlantılar ayrıca modellenmelidir.</x:v>
      </x:c>
    </x:row>
    <x:row r="373">
      <x:c r="A373" s="46" t="str">
        <x:v>WL-CAL-SIL-6</x:v>
      </x:c>
      <x:c r="B373" s="46" t="str">
        <x:v>Diğer rijit duvar katmanı</x:v>
      </x:c>
      <x:c r="C373" s="46" t="str">
        <x:v>Kalsiyum silikat levha</x:v>
      </x:c>
      <x:c r="D373" s="46" t="str">
        <x:v>GENERIC</x:v>
      </x:c>
      <x:c r="E373" s="46" t="str">
        <x:v>CAL-SIL</x:v>
      </x:c>
      <x:c r="F373" s="70" t="str">
        <x:v>ENGINEERING_DEFAULT</x:v>
      </x:c>
      <x:c r="G373" s="54" t="n">
        <x:v>6</x:v>
      </x:c>
      <x:c r="H373" s="54" t="n">
        <x:v>900</x:v>
      </x:c>
      <x:c r="I373" s="74" t="n">
        <x:f>IF(OR(G373="",H373=""),"",G373/1000*H373)</x:f>
        <x:v>5.4</x:v>
      </x:c>
      <x:c r="J373" s="75" t="n">
        <x:v>4</x:v>
      </x:c>
      <x:c r="K373" s="75" t="n">
        <x:v>0.2</x:v>
      </x:c>
      <x:c r="L373" s="75" t="n">
        <x:v>0.02</x:v>
      </x:c>
      <x:c r="M373" s="75" t="n">
        <x:f>IF(OR(J373="",K373=""),"",J373/(2*(1+K373)))</x:f>
        <x:v>1.6666666666666667</x:v>
      </x:c>
      <x:c r="N373" s="76" t="n">
        <x:f>IF(OR(J373="",H373="",K373=""),"",SQRT(J373*1000000000*(1-K373)/(H373*(1+K373)*(1-2*K373))))</x:f>
        <x:v>2222.222222222222</x:v>
      </x:c>
      <x:c r="O373" s="75" t="n">
        <x:f>IF(OR(H373="",N373=""),"",H373*N373/1000000)</x:f>
        <x:v>2</x:v>
      </x:c>
      <x:c r="P373" s="74" t="n">
        <x:f>IF(OR(J373="",G373="",K373=""),"",J373*1000000000*(G373/1000)^3/(12*(1-K373^2)))</x:f>
        <x:v>75</x:v>
      </x:c>
      <x:c r="Q373" s="76" t="n">
        <x:f>IF(OR(I373="",P373=""),"",343.2^2/(2*PI())*SQRT(I373/P373))</x:f>
        <x:v>5030.150025716762</x:v>
      </x:c>
      <x:c r="R373" s="58"/>
      <x:c r="S373" s="62" t="n">
        <x:v>0.18</x:v>
      </x:c>
      <x:c r="T373" s="46" t="str">
        <x:v>20 °C / kuru nominal</x:v>
      </x:c>
      <x:c r="U373" s="46" t="str">
        <x:v>DÜŞÜK-ORTA</x:v>
      </x:c>
      <x:c r="V373" s="46" t="str"/>
      <x:c r="W373" s="50" t="str">
        <x:v>Ortogonal/katmanlı ürünlerde tek izotropik E yaklaşımı sınırlıdır; yön bağımlılığı ve bağlantılar ayrıca modellenmelidir.</x:v>
      </x:c>
    </x:row>
    <x:row r="374">
      <x:c r="A374" s="46" t="str">
        <x:v>WL-CAL-SIL-8</x:v>
      </x:c>
      <x:c r="B374" s="46" t="str">
        <x:v>Diğer rijit duvar katmanı</x:v>
      </x:c>
      <x:c r="C374" s="46" t="str">
        <x:v>Kalsiyum silikat levha</x:v>
      </x:c>
      <x:c r="D374" s="46" t="str">
        <x:v>GENERIC</x:v>
      </x:c>
      <x:c r="E374" s="46" t="str">
        <x:v>CAL-SIL</x:v>
      </x:c>
      <x:c r="F374" s="70" t="str">
        <x:v>ENGINEERING_DEFAULT</x:v>
      </x:c>
      <x:c r="G374" s="54" t="n">
        <x:v>8</x:v>
      </x:c>
      <x:c r="H374" s="54" t="n">
        <x:v>900</x:v>
      </x:c>
      <x:c r="I374" s="74" t="n">
        <x:f>IF(OR(G374="",H374=""),"",G374/1000*H374)</x:f>
        <x:v>7.2</x:v>
      </x:c>
      <x:c r="J374" s="75" t="n">
        <x:v>4</x:v>
      </x:c>
      <x:c r="K374" s="75" t="n">
        <x:v>0.2</x:v>
      </x:c>
      <x:c r="L374" s="75" t="n">
        <x:v>0.02</x:v>
      </x:c>
      <x:c r="M374" s="75" t="n">
        <x:f>IF(OR(J374="",K374=""),"",J374/(2*(1+K374)))</x:f>
        <x:v>1.6666666666666667</x:v>
      </x:c>
      <x:c r="N374" s="76" t="n">
        <x:f>IF(OR(J374="",H374="",K374=""),"",SQRT(J374*1000000000*(1-K374)/(H374*(1+K374)*(1-2*K374))))</x:f>
        <x:v>2222.222222222222</x:v>
      </x:c>
      <x:c r="O374" s="75" t="n">
        <x:f>IF(OR(H374="",N374=""),"",H374*N374/1000000)</x:f>
        <x:v>2</x:v>
      </x:c>
      <x:c r="P374" s="74" t="n">
        <x:f>IF(OR(J374="",G374="",K374=""),"",J374*1000000000*(G374/1000)^3/(12*(1-K374^2)))</x:f>
        <x:v>177.77777777777777</x:v>
      </x:c>
      <x:c r="Q374" s="76" t="n">
        <x:f>IF(OR(I374="",P374=""),"",343.2^2/(2*PI())*SQRT(I374/P374))</x:f>
        <x:v>3772.612519287571</x:v>
      </x:c>
      <x:c r="R374" s="58"/>
      <x:c r="S374" s="62" t="n">
        <x:v>0.18</x:v>
      </x:c>
      <x:c r="T374" s="46" t="str">
        <x:v>20 °C / kuru nominal</x:v>
      </x:c>
      <x:c r="U374" s="46" t="str">
        <x:v>DÜŞÜK-ORTA</x:v>
      </x:c>
      <x:c r="V374" s="46" t="str"/>
      <x:c r="W374" s="50" t="str">
        <x:v>Ortogonal/katmanlı ürünlerde tek izotropik E yaklaşımı sınırlıdır; yön bağımlılığı ve bağlantılar ayrıca modellenmelidir.</x:v>
      </x:c>
    </x:row>
    <x:row r="375">
      <x:c r="A375" s="46" t="str">
        <x:v>WL-CAL-SIL-10</x:v>
      </x:c>
      <x:c r="B375" s="46" t="str">
        <x:v>Diğer rijit duvar katmanı</x:v>
      </x:c>
      <x:c r="C375" s="46" t="str">
        <x:v>Kalsiyum silikat levha</x:v>
      </x:c>
      <x:c r="D375" s="46" t="str">
        <x:v>GENERIC</x:v>
      </x:c>
      <x:c r="E375" s="46" t="str">
        <x:v>CAL-SIL</x:v>
      </x:c>
      <x:c r="F375" s="70" t="str">
        <x:v>ENGINEERING_DEFAULT</x:v>
      </x:c>
      <x:c r="G375" s="54" t="n">
        <x:v>10</x:v>
      </x:c>
      <x:c r="H375" s="54" t="n">
        <x:v>900</x:v>
      </x:c>
      <x:c r="I375" s="74" t="n">
        <x:f>IF(OR(G375="",H375=""),"",G375/1000*H375)</x:f>
        <x:v>9</x:v>
      </x:c>
      <x:c r="J375" s="75" t="n">
        <x:v>4</x:v>
      </x:c>
      <x:c r="K375" s="75" t="n">
        <x:v>0.2</x:v>
      </x:c>
      <x:c r="L375" s="75" t="n">
        <x:v>0.02</x:v>
      </x:c>
      <x:c r="M375" s="75" t="n">
        <x:f>IF(OR(J375="",K375=""),"",J375/(2*(1+K375)))</x:f>
        <x:v>1.6666666666666667</x:v>
      </x:c>
      <x:c r="N375" s="76" t="n">
        <x:f>IF(OR(J375="",H375="",K375=""),"",SQRT(J375*1000000000*(1-K375)/(H375*(1+K375)*(1-2*K375))))</x:f>
        <x:v>2222.222222222222</x:v>
      </x:c>
      <x:c r="O375" s="75" t="n">
        <x:f>IF(OR(H375="",N375=""),"",H375*N375/1000000)</x:f>
        <x:v>2</x:v>
      </x:c>
      <x:c r="P375" s="74" t="n">
        <x:f>IF(OR(J375="",G375="",K375=""),"",J375*1000000000*(G375/1000)^3/(12*(1-K375^2)))</x:f>
        <x:v>347.2222222222223</x:v>
      </x:c>
      <x:c r="Q375" s="76" t="n">
        <x:f>IF(OR(I375="",P375=""),"",343.2^2/(2*PI())*SQRT(I375/P375))</x:f>
        <x:v>3018.090015430057</x:v>
      </x:c>
      <x:c r="R375" s="58"/>
      <x:c r="S375" s="62" t="n">
        <x:v>0.18</x:v>
      </x:c>
      <x:c r="T375" s="46" t="str">
        <x:v>20 °C / kuru nominal</x:v>
      </x:c>
      <x:c r="U375" s="46" t="str">
        <x:v>DÜŞÜK-ORTA</x:v>
      </x:c>
      <x:c r="V375" s="46" t="str"/>
      <x:c r="W375" s="50" t="str">
        <x:v>Ortogonal/katmanlı ürünlerde tek izotropik E yaklaşımı sınırlıdır; yön bağımlılığı ve bağlantılar ayrıca modellenmelidir.</x:v>
      </x:c>
    </x:row>
    <x:row r="376">
      <x:c r="A376" s="46" t="str">
        <x:v>WL-CAL-SIL-12</x:v>
      </x:c>
      <x:c r="B376" s="46" t="str">
        <x:v>Diğer rijit duvar katmanı</x:v>
      </x:c>
      <x:c r="C376" s="46" t="str">
        <x:v>Kalsiyum silikat levha</x:v>
      </x:c>
      <x:c r="D376" s="46" t="str">
        <x:v>GENERIC</x:v>
      </x:c>
      <x:c r="E376" s="46" t="str">
        <x:v>CAL-SIL</x:v>
      </x:c>
      <x:c r="F376" s="70" t="str">
        <x:v>ENGINEERING_DEFAULT</x:v>
      </x:c>
      <x:c r="G376" s="54" t="n">
        <x:v>12</x:v>
      </x:c>
      <x:c r="H376" s="54" t="n">
        <x:v>900</x:v>
      </x:c>
      <x:c r="I376" s="74" t="n">
        <x:f>IF(OR(G376="",H376=""),"",G376/1000*H376)</x:f>
        <x:v>10.8</x:v>
      </x:c>
      <x:c r="J376" s="75" t="n">
        <x:v>4</x:v>
      </x:c>
      <x:c r="K376" s="75" t="n">
        <x:v>0.2</x:v>
      </x:c>
      <x:c r="L376" s="75" t="n">
        <x:v>0.02</x:v>
      </x:c>
      <x:c r="M376" s="75" t="n">
        <x:f>IF(OR(J376="",K376=""),"",J376/(2*(1+K376)))</x:f>
        <x:v>1.6666666666666667</x:v>
      </x:c>
      <x:c r="N376" s="76" t="n">
        <x:f>IF(OR(J376="",H376="",K376=""),"",SQRT(J376*1000000000*(1-K376)/(H376*(1+K376)*(1-2*K376))))</x:f>
        <x:v>2222.222222222222</x:v>
      </x:c>
      <x:c r="O376" s="75" t="n">
        <x:f>IF(OR(H376="",N376=""),"",H376*N376/1000000)</x:f>
        <x:v>2</x:v>
      </x:c>
      <x:c r="P376" s="74" t="n">
        <x:f>IF(OR(J376="",G376="",K376=""),"",J376*1000000000*(G376/1000)^3/(12*(1-K376^2)))</x:f>
        <x:v>600</x:v>
      </x:c>
      <x:c r="Q376" s="76" t="n">
        <x:f>IF(OR(I376="",P376=""),"",343.2^2/(2*PI())*SQRT(I376/P376))</x:f>
        <x:v>2515.075012858381</x:v>
      </x:c>
      <x:c r="R376" s="58"/>
      <x:c r="S376" s="62" t="n">
        <x:v>0.18</x:v>
      </x:c>
      <x:c r="T376" s="46" t="str">
        <x:v>20 °C / kuru nominal</x:v>
      </x:c>
      <x:c r="U376" s="46" t="str">
        <x:v>DÜŞÜK-ORTA</x:v>
      </x:c>
      <x:c r="V376" s="46" t="str"/>
      <x:c r="W376" s="50" t="str">
        <x:v>Ortogonal/katmanlı ürünlerde tek izotropik E yaklaşımı sınırlıdır; yön bağımlılığı ve bağlantılar ayrıca modellenmelidir.</x:v>
      </x:c>
    </x:row>
    <x:row r="377">
      <x:c r="A377" s="46" t="str">
        <x:v>WL-CAL-SIL-15</x:v>
      </x:c>
      <x:c r="B377" s="46" t="str">
        <x:v>Diğer rijit duvar katmanı</x:v>
      </x:c>
      <x:c r="C377" s="46" t="str">
        <x:v>Kalsiyum silikat levha</x:v>
      </x:c>
      <x:c r="D377" s="46" t="str">
        <x:v>GENERIC</x:v>
      </x:c>
      <x:c r="E377" s="46" t="str">
        <x:v>CAL-SIL</x:v>
      </x:c>
      <x:c r="F377" s="70" t="str">
        <x:v>ENGINEERING_DEFAULT</x:v>
      </x:c>
      <x:c r="G377" s="54" t="n">
        <x:v>15</x:v>
      </x:c>
      <x:c r="H377" s="54" t="n">
        <x:v>900</x:v>
      </x:c>
      <x:c r="I377" s="74" t="n">
        <x:f>IF(OR(G377="",H377=""),"",G377/1000*H377)</x:f>
        <x:v>13.5</x:v>
      </x:c>
      <x:c r="J377" s="75" t="n">
        <x:v>4</x:v>
      </x:c>
      <x:c r="K377" s="75" t="n">
        <x:v>0.2</x:v>
      </x:c>
      <x:c r="L377" s="75" t="n">
        <x:v>0.02</x:v>
      </x:c>
      <x:c r="M377" s="75" t="n">
        <x:f>IF(OR(J377="",K377=""),"",J377/(2*(1+K377)))</x:f>
        <x:v>1.6666666666666667</x:v>
      </x:c>
      <x:c r="N377" s="76" t="n">
        <x:f>IF(OR(J377="",H377="",K377=""),"",SQRT(J377*1000000000*(1-K377)/(H377*(1+K377)*(1-2*K377))))</x:f>
        <x:v>2222.222222222222</x:v>
      </x:c>
      <x:c r="O377" s="75" t="n">
        <x:f>IF(OR(H377="",N377=""),"",H377*N377/1000000)</x:f>
        <x:v>2</x:v>
      </x:c>
      <x:c r="P377" s="74" t="n">
        <x:f>IF(OR(J377="",G377="",K377=""),"",J377*1000000000*(G377/1000)^3/(12*(1-K377^2)))</x:f>
        <x:v>1171.875</x:v>
      </x:c>
      <x:c r="Q377" s="76" t="n">
        <x:f>IF(OR(I377="",P377=""),"",343.2^2/(2*PI())*SQRT(I377/P377))</x:f>
        <x:v>2012.060010286705</x:v>
      </x:c>
      <x:c r="R377" s="58"/>
      <x:c r="S377" s="62" t="n">
        <x:v>0.18</x:v>
      </x:c>
      <x:c r="T377" s="46" t="str">
        <x:v>20 °C / kuru nominal</x:v>
      </x:c>
      <x:c r="U377" s="46" t="str">
        <x:v>DÜŞÜK-ORTA</x:v>
      </x:c>
      <x:c r="V377" s="46" t="str"/>
      <x:c r="W377" s="50" t="str">
        <x:v>Ortogonal/katmanlı ürünlerde tek izotropik E yaklaşımı sınırlıdır; yön bağımlılığı ve bağlantılar ayrıca modellenmelidir.</x:v>
      </x:c>
    </x:row>
    <x:row r="378">
      <x:c r="A378" s="46" t="str">
        <x:v>WL-OSB3-9</x:v>
      </x:c>
      <x:c r="B378" s="46" t="str">
        <x:v>Diğer rijit duvar katmanı</x:v>
      </x:c>
      <x:c r="C378" s="46" t="str">
        <x:v>OSB/3 levha</x:v>
      </x:c>
      <x:c r="D378" s="46" t="str">
        <x:v>GENERIC</x:v>
      </x:c>
      <x:c r="E378" s="46" t="str">
        <x:v>OSB3</x:v>
      </x:c>
      <x:c r="F378" s="70" t="str">
        <x:v>ENGINEERING_DEFAULT</x:v>
      </x:c>
      <x:c r="G378" s="54" t="n">
        <x:v>9</x:v>
      </x:c>
      <x:c r="H378" s="54" t="n">
        <x:v>650</x:v>
      </x:c>
      <x:c r="I378" s="74" t="n">
        <x:f>IF(OR(G378="",H378=""),"",G378/1000*H378)</x:f>
        <x:v>5.85</x:v>
      </x:c>
      <x:c r="J378" s="75" t="n">
        <x:v>4</x:v>
      </x:c>
      <x:c r="K378" s="75" t="n">
        <x:v>0.3</x:v>
      </x:c>
      <x:c r="L378" s="75" t="n">
        <x:v>0.03</x:v>
      </x:c>
      <x:c r="M378" s="75" t="n">
        <x:f>IF(OR(J378="",K378=""),"",J378/(2*(1+K378)))</x:f>
        <x:v>1.5384615384615383</x:v>
      </x:c>
      <x:c r="N378" s="76" t="n">
        <x:f>IF(OR(J378="",H378="",K378=""),"",SQRT(J378*1000000000*(1-K378)/(H378*(1+K378)*(1-2*K378))))</x:f>
        <x:v>2878.197989826109</x:v>
      </x:c>
      <x:c r="O378" s="75" t="n">
        <x:f>IF(OR(H378="",N378=""),"",H378*N378/1000000)</x:f>
        <x:v>1.8708286933869709</x:v>
      </x:c>
      <x:c r="P378" s="74" t="n">
        <x:f>IF(OR(J378="",G378="",K378=""),"",J378*1000000000*(G378/1000)^3/(12*(1-K378^2)))</x:f>
        <x:v>267.03296703296695</x:v>
      </x:c>
      <x:c r="Q378" s="76" t="n">
        <x:f>IF(OR(I378="",P378=""),"",343.2^2/(2*PI())*SQRT(I378/P378))</x:f>
        <x:v>2774.6626134055987</x:v>
      </x:c>
      <x:c r="R378" s="58"/>
      <x:c r="S378" s="62" t="n">
        <x:v>0.13</x:v>
      </x:c>
      <x:c r="T378" s="46" t="str">
        <x:v>20 °C / kuru nominal</x:v>
      </x:c>
      <x:c r="U378" s="46" t="str">
        <x:v>DÜŞÜK-ORTA</x:v>
      </x:c>
      <x:c r="V378" s="46" t="str"/>
      <x:c r="W378" s="50" t="str">
        <x:v>Ortogonal/katmanlı ürünlerde tek izotropik E yaklaşımı sınırlıdır; yön bağımlılığı ve bağlantılar ayrıca modellenmelidir.</x:v>
      </x:c>
    </x:row>
    <x:row r="379">
      <x:c r="A379" s="46" t="str">
        <x:v>WL-OSB3-11</x:v>
      </x:c>
      <x:c r="B379" s="46" t="str">
        <x:v>Diğer rijit duvar katmanı</x:v>
      </x:c>
      <x:c r="C379" s="46" t="str">
        <x:v>OSB/3 levha</x:v>
      </x:c>
      <x:c r="D379" s="46" t="str">
        <x:v>GENERIC</x:v>
      </x:c>
      <x:c r="E379" s="46" t="str">
        <x:v>OSB3</x:v>
      </x:c>
      <x:c r="F379" s="70" t="str">
        <x:v>ENGINEERING_DEFAULT</x:v>
      </x:c>
      <x:c r="G379" s="54" t="n">
        <x:v>11</x:v>
      </x:c>
      <x:c r="H379" s="54" t="n">
        <x:v>650</x:v>
      </x:c>
      <x:c r="I379" s="74" t="n">
        <x:f>IF(OR(G379="",H379=""),"",G379/1000*H379)</x:f>
        <x:v>7.1499999999999995</x:v>
      </x:c>
      <x:c r="J379" s="75" t="n">
        <x:v>4</x:v>
      </x:c>
      <x:c r="K379" s="75" t="n">
        <x:v>0.3</x:v>
      </x:c>
      <x:c r="L379" s="75" t="n">
        <x:v>0.03</x:v>
      </x:c>
      <x:c r="M379" s="75" t="n">
        <x:f>IF(OR(J379="",K379=""),"",J379/(2*(1+K379)))</x:f>
        <x:v>1.5384615384615383</x:v>
      </x:c>
      <x:c r="N379" s="76" t="n">
        <x:f>IF(OR(J379="",H379="",K379=""),"",SQRT(J379*1000000000*(1-K379)/(H379*(1+K379)*(1-2*K379))))</x:f>
        <x:v>2878.197989826109</x:v>
      </x:c>
      <x:c r="O379" s="75" t="n">
        <x:f>IF(OR(H379="",N379=""),"",H379*N379/1000000)</x:f>
        <x:v>1.8708286933869709</x:v>
      </x:c>
      <x:c r="P379" s="74" t="n">
        <x:f>IF(OR(J379="",G379="",K379=""),"",J379*1000000000*(G379/1000)^3/(12*(1-K379^2)))</x:f>
        <x:v>487.54578754578745</x:v>
      </x:c>
      <x:c r="Q379" s="76" t="n">
        <x:f>IF(OR(I379="",P379=""),"",343.2^2/(2*PI())*SQRT(I379/P379))</x:f>
        <x:v>2270.178501877308</x:v>
      </x:c>
      <x:c r="R379" s="58"/>
      <x:c r="S379" s="62" t="n">
        <x:v>0.13</x:v>
      </x:c>
      <x:c r="T379" s="46" t="str">
        <x:v>20 °C / kuru nominal</x:v>
      </x:c>
      <x:c r="U379" s="46" t="str">
        <x:v>DÜŞÜK-ORTA</x:v>
      </x:c>
      <x:c r="V379" s="46" t="str"/>
      <x:c r="W379" s="50" t="str">
        <x:v>Ortogonal/katmanlı ürünlerde tek izotropik E yaklaşımı sınırlıdır; yön bağımlılığı ve bağlantılar ayrıca modellenmelidir.</x:v>
      </x:c>
    </x:row>
    <x:row r="380">
      <x:c r="A380" s="46" t="str">
        <x:v>WL-OSB3-12</x:v>
      </x:c>
      <x:c r="B380" s="46" t="str">
        <x:v>Diğer rijit duvar katmanı</x:v>
      </x:c>
      <x:c r="C380" s="46" t="str">
        <x:v>OSB/3 levha</x:v>
      </x:c>
      <x:c r="D380" s="46" t="str">
        <x:v>GENERIC</x:v>
      </x:c>
      <x:c r="E380" s="46" t="str">
        <x:v>OSB3</x:v>
      </x:c>
      <x:c r="F380" s="70" t="str">
        <x:v>ENGINEERING_DEFAULT</x:v>
      </x:c>
      <x:c r="G380" s="54" t="n">
        <x:v>12</x:v>
      </x:c>
      <x:c r="H380" s="54" t="n">
        <x:v>650</x:v>
      </x:c>
      <x:c r="I380" s="74" t="n">
        <x:f>IF(OR(G380="",H380=""),"",G380/1000*H380)</x:f>
        <x:v>7.8</x:v>
      </x:c>
      <x:c r="J380" s="75" t="n">
        <x:v>4</x:v>
      </x:c>
      <x:c r="K380" s="75" t="n">
        <x:v>0.3</x:v>
      </x:c>
      <x:c r="L380" s="75" t="n">
        <x:v>0.03</x:v>
      </x:c>
      <x:c r="M380" s="75" t="n">
        <x:f>IF(OR(J380="",K380=""),"",J380/(2*(1+K380)))</x:f>
        <x:v>1.5384615384615383</x:v>
      </x:c>
      <x:c r="N380" s="76" t="n">
        <x:f>IF(OR(J380="",H380="",K380=""),"",SQRT(J380*1000000000*(1-K380)/(H380*(1+K380)*(1-2*K380))))</x:f>
        <x:v>2878.197989826109</x:v>
      </x:c>
      <x:c r="O380" s="75" t="n">
        <x:f>IF(OR(H380="",N380=""),"",H380*N380/1000000)</x:f>
        <x:v>1.8708286933869709</x:v>
      </x:c>
      <x:c r="P380" s="74" t="n">
        <x:f>IF(OR(J380="",G380="",K380=""),"",J380*1000000000*(G380/1000)^3/(12*(1-K380^2)))</x:f>
        <x:v>632.967032967033</x:v>
      </x:c>
      <x:c r="Q380" s="76" t="n">
        <x:f>IF(OR(I380="",P380=""),"",343.2^2/(2*PI())*SQRT(I380/P380))</x:f>
        <x:v>2080.996960054199</x:v>
      </x:c>
      <x:c r="R380" s="58"/>
      <x:c r="S380" s="62" t="n">
        <x:v>0.13</x:v>
      </x:c>
      <x:c r="T380" s="46" t="str">
        <x:v>20 °C / kuru nominal</x:v>
      </x:c>
      <x:c r="U380" s="46" t="str">
        <x:v>DÜŞÜK-ORTA</x:v>
      </x:c>
      <x:c r="V380" s="46" t="str"/>
      <x:c r="W380" s="50" t="str">
        <x:v>Ortogonal/katmanlı ürünlerde tek izotropik E yaklaşımı sınırlıdır; yön bağımlılığı ve bağlantılar ayrıca modellenmelidir.</x:v>
      </x:c>
    </x:row>
    <x:row r="381">
      <x:c r="A381" s="46" t="str">
        <x:v>WL-OSB3-15</x:v>
      </x:c>
      <x:c r="B381" s="46" t="str">
        <x:v>Diğer rijit duvar katmanı</x:v>
      </x:c>
      <x:c r="C381" s="46" t="str">
        <x:v>OSB/3 levha</x:v>
      </x:c>
      <x:c r="D381" s="46" t="str">
        <x:v>GENERIC</x:v>
      </x:c>
      <x:c r="E381" s="46" t="str">
        <x:v>OSB3</x:v>
      </x:c>
      <x:c r="F381" s="70" t="str">
        <x:v>ENGINEERING_DEFAULT</x:v>
      </x:c>
      <x:c r="G381" s="54" t="n">
        <x:v>15</x:v>
      </x:c>
      <x:c r="H381" s="54" t="n">
        <x:v>650</x:v>
      </x:c>
      <x:c r="I381" s="74" t="n">
        <x:f>IF(OR(G381="",H381=""),"",G381/1000*H381)</x:f>
        <x:v>9.75</x:v>
      </x:c>
      <x:c r="J381" s="75" t="n">
        <x:v>4</x:v>
      </x:c>
      <x:c r="K381" s="75" t="n">
        <x:v>0.3</x:v>
      </x:c>
      <x:c r="L381" s="75" t="n">
        <x:v>0.03</x:v>
      </x:c>
      <x:c r="M381" s="75" t="n">
        <x:f>IF(OR(J381="",K381=""),"",J381/(2*(1+K381)))</x:f>
        <x:v>1.5384615384615383</x:v>
      </x:c>
      <x:c r="N381" s="76" t="n">
        <x:f>IF(OR(J381="",H381="",K381=""),"",SQRT(J381*1000000000*(1-K381)/(H381*(1+K381)*(1-2*K381))))</x:f>
        <x:v>2878.197989826109</x:v>
      </x:c>
      <x:c r="O381" s="75" t="n">
        <x:f>IF(OR(H381="",N381=""),"",H381*N381/1000000)</x:f>
        <x:v>1.8708286933869709</x:v>
      </x:c>
      <x:c r="P381" s="74" t="n">
        <x:f>IF(OR(J381="",G381="",K381=""),"",J381*1000000000*(G381/1000)^3/(12*(1-K381^2)))</x:f>
        <x:v>1236.2637362637363</x:v>
      </x:c>
      <x:c r="Q381" s="76" t="n">
        <x:f>IF(OR(I381="",P381=""),"",343.2^2/(2*PI())*SQRT(I381/P381))</x:f>
        <x:v>1664.797568043359</x:v>
      </x:c>
      <x:c r="R381" s="58"/>
      <x:c r="S381" s="62" t="n">
        <x:v>0.13</x:v>
      </x:c>
      <x:c r="T381" s="46" t="str">
        <x:v>20 °C / kuru nominal</x:v>
      </x:c>
      <x:c r="U381" s="46" t="str">
        <x:v>DÜŞÜK-ORTA</x:v>
      </x:c>
      <x:c r="V381" s="46" t="str"/>
      <x:c r="W381" s="50" t="str">
        <x:v>Ortogonal/katmanlı ürünlerde tek izotropik E yaklaşımı sınırlıdır; yön bağımlılığı ve bağlantılar ayrıca modellenmelidir.</x:v>
      </x:c>
    </x:row>
    <x:row r="382">
      <x:c r="A382" s="46" t="str">
        <x:v>WL-OSB3-18</x:v>
      </x:c>
      <x:c r="B382" s="46" t="str">
        <x:v>Diğer rijit duvar katmanı</x:v>
      </x:c>
      <x:c r="C382" s="46" t="str">
        <x:v>OSB/3 levha</x:v>
      </x:c>
      <x:c r="D382" s="46" t="str">
        <x:v>GENERIC</x:v>
      </x:c>
      <x:c r="E382" s="46" t="str">
        <x:v>OSB3</x:v>
      </x:c>
      <x:c r="F382" s="70" t="str">
        <x:v>ENGINEERING_DEFAULT</x:v>
      </x:c>
      <x:c r="G382" s="54" t="n">
        <x:v>18</x:v>
      </x:c>
      <x:c r="H382" s="54" t="n">
        <x:v>650</x:v>
      </x:c>
      <x:c r="I382" s="74" t="n">
        <x:f>IF(OR(G382="",H382=""),"",G382/1000*H382)</x:f>
        <x:v>11.7</x:v>
      </x:c>
      <x:c r="J382" s="75" t="n">
        <x:v>4</x:v>
      </x:c>
      <x:c r="K382" s="75" t="n">
        <x:v>0.3</x:v>
      </x:c>
      <x:c r="L382" s="75" t="n">
        <x:v>0.03</x:v>
      </x:c>
      <x:c r="M382" s="75" t="n">
        <x:f>IF(OR(J382="",K382=""),"",J382/(2*(1+K382)))</x:f>
        <x:v>1.5384615384615383</x:v>
      </x:c>
      <x:c r="N382" s="76" t="n">
        <x:f>IF(OR(J382="",H382="",K382=""),"",SQRT(J382*1000000000*(1-K382)/(H382*(1+K382)*(1-2*K382))))</x:f>
        <x:v>2878.197989826109</x:v>
      </x:c>
      <x:c r="O382" s="75" t="n">
        <x:f>IF(OR(H382="",N382=""),"",H382*N382/1000000)</x:f>
        <x:v>1.8708286933869709</x:v>
      </x:c>
      <x:c r="P382" s="74" t="n">
        <x:f>IF(OR(J382="",G382="",K382=""),"",J382*1000000000*(G382/1000)^3/(12*(1-K382^2)))</x:f>
        <x:v>2136.2637362637356</x:v>
      </x:c>
      <x:c r="Q382" s="76" t="n">
        <x:f>IF(OR(I382="",P382=""),"",343.2^2/(2*PI())*SQRT(I382/P382))</x:f>
        <x:v>1387.3313067027993</x:v>
      </x:c>
      <x:c r="R382" s="58"/>
      <x:c r="S382" s="62" t="n">
        <x:v>0.13</x:v>
      </x:c>
      <x:c r="T382" s="46" t="str">
        <x:v>20 °C / kuru nominal</x:v>
      </x:c>
      <x:c r="U382" s="46" t="str">
        <x:v>DÜŞÜK-ORTA</x:v>
      </x:c>
      <x:c r="V382" s="46" t="str"/>
      <x:c r="W382" s="50" t="str">
        <x:v>Ortogonal/katmanlı ürünlerde tek izotropik E yaklaşımı sınırlıdır; yön bağımlılığı ve bağlantılar ayrıca modellenmelidir.</x:v>
      </x:c>
    </x:row>
    <x:row r="383">
      <x:c r="A383" s="46" t="str">
        <x:v>WL-OSB3-22</x:v>
      </x:c>
      <x:c r="B383" s="46" t="str">
        <x:v>Diğer rijit duvar katmanı</x:v>
      </x:c>
      <x:c r="C383" s="46" t="str">
        <x:v>OSB/3 levha</x:v>
      </x:c>
      <x:c r="D383" s="46" t="str">
        <x:v>GENERIC</x:v>
      </x:c>
      <x:c r="E383" s="46" t="str">
        <x:v>OSB3</x:v>
      </x:c>
      <x:c r="F383" s="70" t="str">
        <x:v>ENGINEERING_DEFAULT</x:v>
      </x:c>
      <x:c r="G383" s="54" t="n">
        <x:v>22</x:v>
      </x:c>
      <x:c r="H383" s="54" t="n">
        <x:v>650</x:v>
      </x:c>
      <x:c r="I383" s="74" t="n">
        <x:f>IF(OR(G383="",H383=""),"",G383/1000*H383)</x:f>
        <x:v>14.299999999999999</x:v>
      </x:c>
      <x:c r="J383" s="75" t="n">
        <x:v>4</x:v>
      </x:c>
      <x:c r="K383" s="75" t="n">
        <x:v>0.3</x:v>
      </x:c>
      <x:c r="L383" s="75" t="n">
        <x:v>0.03</x:v>
      </x:c>
      <x:c r="M383" s="75" t="n">
        <x:f>IF(OR(J383="",K383=""),"",J383/(2*(1+K383)))</x:f>
        <x:v>1.5384615384615383</x:v>
      </x:c>
      <x:c r="N383" s="76" t="n">
        <x:f>IF(OR(J383="",H383="",K383=""),"",SQRT(J383*1000000000*(1-K383)/(H383*(1+K383)*(1-2*K383))))</x:f>
        <x:v>2878.197989826109</x:v>
      </x:c>
      <x:c r="O383" s="75" t="n">
        <x:f>IF(OR(H383="",N383=""),"",H383*N383/1000000)</x:f>
        <x:v>1.8708286933869709</x:v>
      </x:c>
      <x:c r="P383" s="74" t="n">
        <x:f>IF(OR(J383="",G383="",K383=""),"",J383*1000000000*(G383/1000)^3/(12*(1-K383^2)))</x:f>
        <x:v>3900.3663003662996</x:v>
      </x:c>
      <x:c r="Q383" s="76" t="n">
        <x:f>IF(OR(I383="",P383=""),"",343.2^2/(2*PI())*SQRT(I383/P383))</x:f>
        <x:v>1135.089250938654</x:v>
      </x:c>
      <x:c r="R383" s="58"/>
      <x:c r="S383" s="62" t="n">
        <x:v>0.13</x:v>
      </x:c>
      <x:c r="T383" s="46" t="str">
        <x:v>20 °C / kuru nominal</x:v>
      </x:c>
      <x:c r="U383" s="46" t="str">
        <x:v>DÜŞÜK-ORTA</x:v>
      </x:c>
      <x:c r="V383" s="46" t="str"/>
      <x:c r="W383" s="50" t="str">
        <x:v>Ortogonal/katmanlı ürünlerde tek izotropik E yaklaşımı sınırlıdır; yön bağımlılığı ve bağlantılar ayrıca modellenmelidir.</x:v>
      </x:c>
    </x:row>
    <x:row r="384">
      <x:c r="A384" s="46" t="str">
        <x:v>WL-PLYWOOD-6</x:v>
      </x:c>
      <x:c r="B384" s="46" t="str">
        <x:v>Diğer rijit duvar katmanı</x:v>
      </x:c>
      <x:c r="C384" s="46" t="str">
        <x:v>Kontrplak</x:v>
      </x:c>
      <x:c r="D384" s="46" t="str">
        <x:v>GENERIC</x:v>
      </x:c>
      <x:c r="E384" s="46" t="str">
        <x:v>PLYWOOD</x:v>
      </x:c>
      <x:c r="F384" s="70" t="str">
        <x:v>ENGINEERING_DEFAULT</x:v>
      </x:c>
      <x:c r="G384" s="54" t="n">
        <x:v>6</x:v>
      </x:c>
      <x:c r="H384" s="54" t="n">
        <x:v>600</x:v>
      </x:c>
      <x:c r="I384" s="74" t="n">
        <x:f>IF(OR(G384="",H384=""),"",G384/1000*H384)</x:f>
        <x:v>3.6</x:v>
      </x:c>
      <x:c r="J384" s="75" t="n">
        <x:v>6</x:v>
      </x:c>
      <x:c r="K384" s="75" t="n">
        <x:v>0.3</x:v>
      </x:c>
      <x:c r="L384" s="75" t="n">
        <x:v>0.025</x:v>
      </x:c>
      <x:c r="M384" s="75" t="n">
        <x:f>IF(OR(J384="",K384=""),"",J384/(2*(1+K384)))</x:f>
        <x:v>2.3076923076923075</x:v>
      </x:c>
      <x:c r="N384" s="76" t="n">
        <x:f>IF(OR(J384="",H384="",K384=""),"",SQRT(J384*1000000000*(1-K384)/(H384*(1+K384)*(1-2*K384))))</x:f>
        <x:v>3668.996928526714</x:v>
      </x:c>
      <x:c r="O384" s="75" t="n">
        <x:f>IF(OR(H384="",N384=""),"",H384*N384/1000000)</x:f>
        <x:v>2.2013981571160284</x:v>
      </x:c>
      <x:c r="P384" s="74" t="n">
        <x:f>IF(OR(J384="",G384="",K384=""),"",J384*1000000000*(G384/1000)^3/(12*(1-K384^2)))</x:f>
        <x:v>118.68131868131869</x:v>
      </x:c>
      <x:c r="Q384" s="76" t="n">
        <x:f>IF(OR(I384="",P384=""),"",343.2^2/(2*PI())*SQRT(I384/P384))</x:f>
        <x:v>3264.9366483211156</x:v>
      </x:c>
      <x:c r="R384" s="58"/>
      <x:c r="S384" s="62" t="n">
        <x:v>0.13</x:v>
      </x:c>
      <x:c r="T384" s="46" t="str">
        <x:v>20 °C / kuru nominal</x:v>
      </x:c>
      <x:c r="U384" s="46" t="str">
        <x:v>DÜŞÜK-ORTA</x:v>
      </x:c>
      <x:c r="V384" s="46" t="str"/>
      <x:c r="W384" s="50" t="str">
        <x:v>Ortogonal/katmanlı ürünlerde tek izotropik E yaklaşımı sınırlıdır; yön bağımlılığı ve bağlantılar ayrıca modellenmelidir.</x:v>
      </x:c>
    </x:row>
    <x:row r="385">
      <x:c r="A385" s="46" t="str">
        <x:v>WL-PLYWOOD-9</x:v>
      </x:c>
      <x:c r="B385" s="46" t="str">
        <x:v>Diğer rijit duvar katmanı</x:v>
      </x:c>
      <x:c r="C385" s="46" t="str">
        <x:v>Kontrplak</x:v>
      </x:c>
      <x:c r="D385" s="46" t="str">
        <x:v>GENERIC</x:v>
      </x:c>
      <x:c r="E385" s="46" t="str">
        <x:v>PLYWOOD</x:v>
      </x:c>
      <x:c r="F385" s="70" t="str">
        <x:v>ENGINEERING_DEFAULT</x:v>
      </x:c>
      <x:c r="G385" s="54" t="n">
        <x:v>9</x:v>
      </x:c>
      <x:c r="H385" s="54" t="n">
        <x:v>600</x:v>
      </x:c>
      <x:c r="I385" s="74" t="n">
        <x:f>IF(OR(G385="",H385=""),"",G385/1000*H385)</x:f>
        <x:v>5.3999999999999995</x:v>
      </x:c>
      <x:c r="J385" s="75" t="n">
        <x:v>6</x:v>
      </x:c>
      <x:c r="K385" s="75" t="n">
        <x:v>0.3</x:v>
      </x:c>
      <x:c r="L385" s="75" t="n">
        <x:v>0.025</x:v>
      </x:c>
      <x:c r="M385" s="75" t="n">
        <x:f>IF(OR(J385="",K385=""),"",J385/(2*(1+K385)))</x:f>
        <x:v>2.3076923076923075</x:v>
      </x:c>
      <x:c r="N385" s="76" t="n">
        <x:f>IF(OR(J385="",H385="",K385=""),"",SQRT(J385*1000000000*(1-K385)/(H385*(1+K385)*(1-2*K385))))</x:f>
        <x:v>3668.996928526714</x:v>
      </x:c>
      <x:c r="O385" s="75" t="n">
        <x:f>IF(OR(H385="",N385=""),"",H385*N385/1000000)</x:f>
        <x:v>2.2013981571160284</x:v>
      </x:c>
      <x:c r="P385" s="74" t="n">
        <x:f>IF(OR(J385="",G385="",K385=""),"",J385*1000000000*(G385/1000)^3/(12*(1-K385^2)))</x:f>
        <x:v>400.54945054945046</x:v>
      </x:c>
      <x:c r="Q385" s="76" t="n">
        <x:f>IF(OR(I385="",P385=""),"",343.2^2/(2*PI())*SQRT(I385/P385))</x:f>
        <x:v>2176.6244322140774</x:v>
      </x:c>
      <x:c r="R385" s="58"/>
      <x:c r="S385" s="62" t="n">
        <x:v>0.13</x:v>
      </x:c>
      <x:c r="T385" s="46" t="str">
        <x:v>20 °C / kuru nominal</x:v>
      </x:c>
      <x:c r="U385" s="46" t="str">
        <x:v>DÜŞÜK-ORTA</x:v>
      </x:c>
      <x:c r="V385" s="46" t="str"/>
      <x:c r="W385" s="50" t="str">
        <x:v>Ortogonal/katmanlı ürünlerde tek izotropik E yaklaşımı sınırlıdır; yön bağımlılığı ve bağlantılar ayrıca modellenmelidir.</x:v>
      </x:c>
    </x:row>
    <x:row r="386">
      <x:c r="A386" s="46" t="str">
        <x:v>WL-PLYWOOD-12</x:v>
      </x:c>
      <x:c r="B386" s="46" t="str">
        <x:v>Diğer rijit duvar katmanı</x:v>
      </x:c>
      <x:c r="C386" s="46" t="str">
        <x:v>Kontrplak</x:v>
      </x:c>
      <x:c r="D386" s="46" t="str">
        <x:v>GENERIC</x:v>
      </x:c>
      <x:c r="E386" s="46" t="str">
        <x:v>PLYWOOD</x:v>
      </x:c>
      <x:c r="F386" s="70" t="str">
        <x:v>ENGINEERING_DEFAULT</x:v>
      </x:c>
      <x:c r="G386" s="54" t="n">
        <x:v>12</x:v>
      </x:c>
      <x:c r="H386" s="54" t="n">
        <x:v>600</x:v>
      </x:c>
      <x:c r="I386" s="74" t="n">
        <x:f>IF(OR(G386="",H386=""),"",G386/1000*H386)</x:f>
        <x:v>7.2</x:v>
      </x:c>
      <x:c r="J386" s="75" t="n">
        <x:v>6</x:v>
      </x:c>
      <x:c r="K386" s="75" t="n">
        <x:v>0.3</x:v>
      </x:c>
      <x:c r="L386" s="75" t="n">
        <x:v>0.025</x:v>
      </x:c>
      <x:c r="M386" s="75" t="n">
        <x:f>IF(OR(J386="",K386=""),"",J386/(2*(1+K386)))</x:f>
        <x:v>2.3076923076923075</x:v>
      </x:c>
      <x:c r="N386" s="76" t="n">
        <x:f>IF(OR(J386="",H386="",K386=""),"",SQRT(J386*1000000000*(1-K386)/(H386*(1+K386)*(1-2*K386))))</x:f>
        <x:v>3668.996928526714</x:v>
      </x:c>
      <x:c r="O386" s="75" t="n">
        <x:f>IF(OR(H386="",N386=""),"",H386*N386/1000000)</x:f>
        <x:v>2.2013981571160284</x:v>
      </x:c>
      <x:c r="P386" s="74" t="n">
        <x:f>IF(OR(J386="",G386="",K386=""),"",J386*1000000000*(G386/1000)^3/(12*(1-K386^2)))</x:f>
        <x:v>949.4505494505495</x:v>
      </x:c>
      <x:c r="Q386" s="76" t="n">
        <x:f>IF(OR(I386="",P386=""),"",343.2^2/(2*PI())*SQRT(I386/P386))</x:f>
        <x:v>1632.4683241605578</x:v>
      </x:c>
      <x:c r="R386" s="58"/>
      <x:c r="S386" s="62" t="n">
        <x:v>0.13</x:v>
      </x:c>
      <x:c r="T386" s="46" t="str">
        <x:v>20 °C / kuru nominal</x:v>
      </x:c>
      <x:c r="U386" s="46" t="str">
        <x:v>DÜŞÜK-ORTA</x:v>
      </x:c>
      <x:c r="V386" s="46" t="str"/>
      <x:c r="W386" s="50" t="str">
        <x:v>Ortogonal/katmanlı ürünlerde tek izotropik E yaklaşımı sınırlıdır; yön bağımlılığı ve bağlantılar ayrıca modellenmelidir.</x:v>
      </x:c>
    </x:row>
    <x:row r="387">
      <x:c r="A387" s="46" t="str">
        <x:v>WL-PLYWOOD-15</x:v>
      </x:c>
      <x:c r="B387" s="46" t="str">
        <x:v>Diğer rijit duvar katmanı</x:v>
      </x:c>
      <x:c r="C387" s="46" t="str">
        <x:v>Kontrplak</x:v>
      </x:c>
      <x:c r="D387" s="46" t="str">
        <x:v>GENERIC</x:v>
      </x:c>
      <x:c r="E387" s="46" t="str">
        <x:v>PLYWOOD</x:v>
      </x:c>
      <x:c r="F387" s="70" t="str">
        <x:v>ENGINEERING_DEFAULT</x:v>
      </x:c>
      <x:c r="G387" s="54" t="n">
        <x:v>15</x:v>
      </x:c>
      <x:c r="H387" s="54" t="n">
        <x:v>600</x:v>
      </x:c>
      <x:c r="I387" s="74" t="n">
        <x:f>IF(OR(G387="",H387=""),"",G387/1000*H387)</x:f>
        <x:v>9</x:v>
      </x:c>
      <x:c r="J387" s="75" t="n">
        <x:v>6</x:v>
      </x:c>
      <x:c r="K387" s="75" t="n">
        <x:v>0.3</x:v>
      </x:c>
      <x:c r="L387" s="75" t="n">
        <x:v>0.025</x:v>
      </x:c>
      <x:c r="M387" s="75" t="n">
        <x:f>IF(OR(J387="",K387=""),"",J387/(2*(1+K387)))</x:f>
        <x:v>2.3076923076923075</x:v>
      </x:c>
      <x:c r="N387" s="76" t="n">
        <x:f>IF(OR(J387="",H387="",K387=""),"",SQRT(J387*1000000000*(1-K387)/(H387*(1+K387)*(1-2*K387))))</x:f>
        <x:v>3668.996928526714</x:v>
      </x:c>
      <x:c r="O387" s="75" t="n">
        <x:f>IF(OR(H387="",N387=""),"",H387*N387/1000000)</x:f>
        <x:v>2.2013981571160284</x:v>
      </x:c>
      <x:c r="P387" s="74" t="n">
        <x:f>IF(OR(J387="",G387="",K387=""),"",J387*1000000000*(G387/1000)^3/(12*(1-K387^2)))</x:f>
        <x:v>1854.3956043956043</x:v>
      </x:c>
      <x:c r="Q387" s="76" t="n">
        <x:f>IF(OR(I387="",P387=""),"",343.2^2/(2*PI())*SQRT(I387/P387))</x:f>
        <x:v>1305.9746593284463</x:v>
      </x:c>
      <x:c r="R387" s="58"/>
      <x:c r="S387" s="62" t="n">
        <x:v>0.13</x:v>
      </x:c>
      <x:c r="T387" s="46" t="str">
        <x:v>20 °C / kuru nominal</x:v>
      </x:c>
      <x:c r="U387" s="46" t="str">
        <x:v>DÜŞÜK-ORTA</x:v>
      </x:c>
      <x:c r="V387" s="46" t="str"/>
      <x:c r="W387" s="50" t="str">
        <x:v>Ortogonal/katmanlı ürünlerde tek izotropik E yaklaşımı sınırlıdır; yön bağımlılığı ve bağlantılar ayrıca modellenmelidir.</x:v>
      </x:c>
    </x:row>
    <x:row r="388">
      <x:c r="A388" s="46" t="str">
        <x:v>WL-PLYWOOD-18</x:v>
      </x:c>
      <x:c r="B388" s="46" t="str">
        <x:v>Diğer rijit duvar katmanı</x:v>
      </x:c>
      <x:c r="C388" s="46" t="str">
        <x:v>Kontrplak</x:v>
      </x:c>
      <x:c r="D388" s="46" t="str">
        <x:v>GENERIC</x:v>
      </x:c>
      <x:c r="E388" s="46" t="str">
        <x:v>PLYWOOD</x:v>
      </x:c>
      <x:c r="F388" s="70" t="str">
        <x:v>ENGINEERING_DEFAULT</x:v>
      </x:c>
      <x:c r="G388" s="54" t="n">
        <x:v>18</x:v>
      </x:c>
      <x:c r="H388" s="54" t="n">
        <x:v>600</x:v>
      </x:c>
      <x:c r="I388" s="74" t="n">
        <x:f>IF(OR(G388="",H388=""),"",G388/1000*H388)</x:f>
        <x:v>10.799999999999999</x:v>
      </x:c>
      <x:c r="J388" s="75" t="n">
        <x:v>6</x:v>
      </x:c>
      <x:c r="K388" s="75" t="n">
        <x:v>0.3</x:v>
      </x:c>
      <x:c r="L388" s="75" t="n">
        <x:v>0.025</x:v>
      </x:c>
      <x:c r="M388" s="75" t="n">
        <x:f>IF(OR(J388="",K388=""),"",J388/(2*(1+K388)))</x:f>
        <x:v>2.3076923076923075</x:v>
      </x:c>
      <x:c r="N388" s="76" t="n">
        <x:f>IF(OR(J388="",H388="",K388=""),"",SQRT(J388*1000000000*(1-K388)/(H388*(1+K388)*(1-2*K388))))</x:f>
        <x:v>3668.996928526714</x:v>
      </x:c>
      <x:c r="O388" s="75" t="n">
        <x:f>IF(OR(H388="",N388=""),"",H388*N388/1000000)</x:f>
        <x:v>2.2013981571160284</x:v>
      </x:c>
      <x:c r="P388" s="74" t="n">
        <x:f>IF(OR(J388="",G388="",K388=""),"",J388*1000000000*(G388/1000)^3/(12*(1-K388^2)))</x:f>
        <x:v>3204.3956043956036</x:v>
      </x:c>
      <x:c r="Q388" s="76" t="n">
        <x:f>IF(OR(I388="",P388=""),"",343.2^2/(2*PI())*SQRT(I388/P388))</x:f>
        <x:v>1088.3122161070387</x:v>
      </x:c>
      <x:c r="R388" s="58"/>
      <x:c r="S388" s="62" t="n">
        <x:v>0.13</x:v>
      </x:c>
      <x:c r="T388" s="46" t="str">
        <x:v>20 °C / kuru nominal</x:v>
      </x:c>
      <x:c r="U388" s="46" t="str">
        <x:v>DÜŞÜK-ORTA</x:v>
      </x:c>
      <x:c r="V388" s="46" t="str"/>
      <x:c r="W388" s="50" t="str">
        <x:v>Ortogonal/katmanlı ürünlerde tek izotropik E yaklaşımı sınırlıdır; yön bağımlılığı ve bağlantılar ayrıca modellenmelidir.</x:v>
      </x:c>
    </x:row>
    <x:row r="389">
      <x:c r="A389" s="46" t="str">
        <x:v>WL-PLYWOOD-21</x:v>
      </x:c>
      <x:c r="B389" s="46" t="str">
        <x:v>Diğer rijit duvar katmanı</x:v>
      </x:c>
      <x:c r="C389" s="46" t="str">
        <x:v>Kontrplak</x:v>
      </x:c>
      <x:c r="D389" s="46" t="str">
        <x:v>GENERIC</x:v>
      </x:c>
      <x:c r="E389" s="46" t="str">
        <x:v>PLYWOOD</x:v>
      </x:c>
      <x:c r="F389" s="70" t="str">
        <x:v>ENGINEERING_DEFAULT</x:v>
      </x:c>
      <x:c r="G389" s="54" t="n">
        <x:v>21</x:v>
      </x:c>
      <x:c r="H389" s="54" t="n">
        <x:v>600</x:v>
      </x:c>
      <x:c r="I389" s="74" t="n">
        <x:f>IF(OR(G389="",H389=""),"",G389/1000*H389)</x:f>
        <x:v>12.600000000000001</x:v>
      </x:c>
      <x:c r="J389" s="75" t="n">
        <x:v>6</x:v>
      </x:c>
      <x:c r="K389" s="75" t="n">
        <x:v>0.3</x:v>
      </x:c>
      <x:c r="L389" s="75" t="n">
        <x:v>0.025</x:v>
      </x:c>
      <x:c r="M389" s="75" t="n">
        <x:f>IF(OR(J389="",K389=""),"",J389/(2*(1+K389)))</x:f>
        <x:v>2.3076923076923075</x:v>
      </x:c>
      <x:c r="N389" s="76" t="n">
        <x:f>IF(OR(J389="",H389="",K389=""),"",SQRT(J389*1000000000*(1-K389)/(H389*(1+K389)*(1-2*K389))))</x:f>
        <x:v>3668.996928526714</x:v>
      </x:c>
      <x:c r="O389" s="75" t="n">
        <x:f>IF(OR(H389="",N389=""),"",H389*N389/1000000)</x:f>
        <x:v>2.2013981571160284</x:v>
      </x:c>
      <x:c r="P389" s="74" t="n">
        <x:f>IF(OR(J389="",G389="",K389=""),"",J389*1000000000*(G389/1000)^3/(12*(1-K389^2)))</x:f>
        <x:v>5088.461538461539</x:v>
      </x:c>
      <x:c r="Q389" s="76" t="n">
        <x:f>IF(OR(I389="",P389=""),"",343.2^2/(2*PI())*SQRT(I389/P389))</x:f>
        <x:v>932.8390423774615</x:v>
      </x:c>
      <x:c r="R389" s="58"/>
      <x:c r="S389" s="62" t="n">
        <x:v>0.13</x:v>
      </x:c>
      <x:c r="T389" s="46" t="str">
        <x:v>20 °C / kuru nominal</x:v>
      </x:c>
      <x:c r="U389" s="46" t="str">
        <x:v>DÜŞÜK-ORTA</x:v>
      </x:c>
      <x:c r="V389" s="46" t="str"/>
      <x:c r="W389" s="50" t="str">
        <x:v>Ortogonal/katmanlı ürünlerde tek izotropik E yaklaşımı sınırlıdır; yön bağımlılığı ve bağlantılar ayrıca modellenmelidir.</x:v>
      </x:c>
    </x:row>
    <x:row r="390">
      <x:c r="A390" s="46" t="str">
        <x:v>WL-MDF-6</x:v>
      </x:c>
      <x:c r="B390" s="46" t="str">
        <x:v>Diğer rijit duvar katmanı</x:v>
      </x:c>
      <x:c r="C390" s="46" t="str">
        <x:v>MDF</x:v>
      </x:c>
      <x:c r="D390" s="46" t="str">
        <x:v>GENERIC</x:v>
      </x:c>
      <x:c r="E390" s="46" t="str">
        <x:v>MDF</x:v>
      </x:c>
      <x:c r="F390" s="70" t="str">
        <x:v>ENGINEERING_DEFAULT</x:v>
      </x:c>
      <x:c r="G390" s="54" t="n">
        <x:v>6</x:v>
      </x:c>
      <x:c r="H390" s="54" t="n">
        <x:v>750</x:v>
      </x:c>
      <x:c r="I390" s="74" t="n">
        <x:f>IF(OR(G390="",H390=""),"",G390/1000*H390)</x:f>
        <x:v>4.5</x:v>
      </x:c>
      <x:c r="J390" s="75" t="n">
        <x:v>3.5</x:v>
      </x:c>
      <x:c r="K390" s="75" t="n">
        <x:v>0.3</x:v>
      </x:c>
      <x:c r="L390" s="75" t="n">
        <x:v>0.04</x:v>
      </x:c>
      <x:c r="M390" s="75" t="n">
        <x:f>IF(OR(J390="",K390=""),"",J390/(2*(1+K390)))</x:f>
        <x:v>1.346153846153846</x:v>
      </x:c>
      <x:c r="N390" s="76" t="n">
        <x:f>IF(OR(J390="",H390="",K390=""),"",SQRT(J390*1000000000*(1-K390)/(H390*(1+K390)*(1-2*K390))))</x:f>
        <x:v>2506.402059138015</x:v>
      </x:c>
      <x:c r="O390" s="75" t="n">
        <x:f>IF(OR(H390="",N390=""),"",H390*N390/1000000)</x:f>
        <x:v>1.8798015443535112</x:v>
      </x:c>
      <x:c r="P390" s="74" t="n">
        <x:f>IF(OR(J390="",G390="",K390=""),"",J390*1000000000*(G390/1000)^3/(12*(1-K390^2)))</x:f>
        <x:v>69.23076923076923</x:v>
      </x:c>
      <x:c r="Q390" s="76" t="n">
        <x:f>IF(OR(I390="",P390=""),"",343.2^2/(2*PI())*SQRT(I390/P390))</x:f>
        <x:v>4779.377869903375</x:v>
      </x:c>
      <x:c r="R390" s="58"/>
      <x:c r="S390" s="62" t="n">
        <x:v>0.15</x:v>
      </x:c>
      <x:c r="T390" s="46" t="str">
        <x:v>20 °C / kuru nominal</x:v>
      </x:c>
      <x:c r="U390" s="46" t="str">
        <x:v>DÜŞÜK-ORTA</x:v>
      </x:c>
      <x:c r="V390" s="46" t="str"/>
      <x:c r="W390" s="50" t="str">
        <x:v>Ortogonal/katmanlı ürünlerde tek izotropik E yaklaşımı sınırlıdır; yön bağımlılığı ve bağlantılar ayrıca modellenmelidir.</x:v>
      </x:c>
    </x:row>
    <x:row r="391">
      <x:c r="A391" s="46" t="str">
        <x:v>WL-MDF-9</x:v>
      </x:c>
      <x:c r="B391" s="46" t="str">
        <x:v>Diğer rijit duvar katmanı</x:v>
      </x:c>
      <x:c r="C391" s="46" t="str">
        <x:v>MDF</x:v>
      </x:c>
      <x:c r="D391" s="46" t="str">
        <x:v>GENERIC</x:v>
      </x:c>
      <x:c r="E391" s="46" t="str">
        <x:v>MDF</x:v>
      </x:c>
      <x:c r="F391" s="70" t="str">
        <x:v>ENGINEERING_DEFAULT</x:v>
      </x:c>
      <x:c r="G391" s="54" t="n">
        <x:v>9</x:v>
      </x:c>
      <x:c r="H391" s="54" t="n">
        <x:v>750</x:v>
      </x:c>
      <x:c r="I391" s="74" t="n">
        <x:f>IF(OR(G391="",H391=""),"",G391/1000*H391)</x:f>
        <x:v>6.749999999999999</x:v>
      </x:c>
      <x:c r="J391" s="75" t="n">
        <x:v>3.5</x:v>
      </x:c>
      <x:c r="K391" s="75" t="n">
        <x:v>0.3</x:v>
      </x:c>
      <x:c r="L391" s="75" t="n">
        <x:v>0.04</x:v>
      </x:c>
      <x:c r="M391" s="75" t="n">
        <x:f>IF(OR(J391="",K391=""),"",J391/(2*(1+K391)))</x:f>
        <x:v>1.346153846153846</x:v>
      </x:c>
      <x:c r="N391" s="76" t="n">
        <x:f>IF(OR(J391="",H391="",K391=""),"",SQRT(J391*1000000000*(1-K391)/(H391*(1+K391)*(1-2*K391))))</x:f>
        <x:v>2506.402059138015</x:v>
      </x:c>
      <x:c r="O391" s="75" t="n">
        <x:f>IF(OR(H391="",N391=""),"",H391*N391/1000000)</x:f>
        <x:v>1.8798015443535112</x:v>
      </x:c>
      <x:c r="P391" s="74" t="n">
        <x:f>IF(OR(J391="",G391="",K391=""),"",J391*1000000000*(G391/1000)^3/(12*(1-K391^2)))</x:f>
        <x:v>233.6538461538461</x:v>
      </x:c>
      <x:c r="Q391" s="76" t="n">
        <x:f>IF(OR(I391="",P391=""),"",343.2^2/(2*PI())*SQRT(I391/P391))</x:f>
        <x:v>3186.2519132689163</x:v>
      </x:c>
      <x:c r="R391" s="58"/>
      <x:c r="S391" s="62" t="n">
        <x:v>0.15</x:v>
      </x:c>
      <x:c r="T391" s="46" t="str">
        <x:v>20 °C / kuru nominal</x:v>
      </x:c>
      <x:c r="U391" s="46" t="str">
        <x:v>DÜŞÜK-ORTA</x:v>
      </x:c>
      <x:c r="V391" s="46" t="str"/>
      <x:c r="W391" s="50" t="str">
        <x:v>Ortogonal/katmanlı ürünlerde tek izotropik E yaklaşımı sınırlıdır; yön bağımlılığı ve bağlantılar ayrıca modellenmelidir.</x:v>
      </x:c>
    </x:row>
    <x:row r="392">
      <x:c r="A392" s="46" t="str">
        <x:v>WL-MDF-12</x:v>
      </x:c>
      <x:c r="B392" s="46" t="str">
        <x:v>Diğer rijit duvar katmanı</x:v>
      </x:c>
      <x:c r="C392" s="46" t="str">
        <x:v>MDF</x:v>
      </x:c>
      <x:c r="D392" s="46" t="str">
        <x:v>GENERIC</x:v>
      </x:c>
      <x:c r="E392" s="46" t="str">
        <x:v>MDF</x:v>
      </x:c>
      <x:c r="F392" s="70" t="str">
        <x:v>ENGINEERING_DEFAULT</x:v>
      </x:c>
      <x:c r="G392" s="54" t="n">
        <x:v>12</x:v>
      </x:c>
      <x:c r="H392" s="54" t="n">
        <x:v>750</x:v>
      </x:c>
      <x:c r="I392" s="74" t="n">
        <x:f>IF(OR(G392="",H392=""),"",G392/1000*H392)</x:f>
        <x:v>9</x:v>
      </x:c>
      <x:c r="J392" s="75" t="n">
        <x:v>3.5</x:v>
      </x:c>
      <x:c r="K392" s="75" t="n">
        <x:v>0.3</x:v>
      </x:c>
      <x:c r="L392" s="75" t="n">
        <x:v>0.04</x:v>
      </x:c>
      <x:c r="M392" s="75" t="n">
        <x:f>IF(OR(J392="",K392=""),"",J392/(2*(1+K392)))</x:f>
        <x:v>1.346153846153846</x:v>
      </x:c>
      <x:c r="N392" s="76" t="n">
        <x:f>IF(OR(J392="",H392="",K392=""),"",SQRT(J392*1000000000*(1-K392)/(H392*(1+K392)*(1-2*K392))))</x:f>
        <x:v>2506.402059138015</x:v>
      </x:c>
      <x:c r="O392" s="75" t="n">
        <x:f>IF(OR(H392="",N392=""),"",H392*N392/1000000)</x:f>
        <x:v>1.8798015443535112</x:v>
      </x:c>
      <x:c r="P392" s="74" t="n">
        <x:f>IF(OR(J392="",G392="",K392=""),"",J392*1000000000*(G392/1000)^3/(12*(1-K392^2)))</x:f>
        <x:v>553.8461538461538</x:v>
      </x:c>
      <x:c r="Q392" s="76" t="n">
        <x:f>IF(OR(I392="",P392=""),"",343.2^2/(2*PI())*SQRT(I392/P392))</x:f>
        <x:v>2389.6889349516873</x:v>
      </x:c>
      <x:c r="R392" s="58"/>
      <x:c r="S392" s="62" t="n">
        <x:v>0.15</x:v>
      </x:c>
      <x:c r="T392" s="46" t="str">
        <x:v>20 °C / kuru nominal</x:v>
      </x:c>
      <x:c r="U392" s="46" t="str">
        <x:v>DÜŞÜK-ORTA</x:v>
      </x:c>
      <x:c r="V392" s="46" t="str"/>
      <x:c r="W392" s="50" t="str">
        <x:v>Ortogonal/katmanlı ürünlerde tek izotropik E yaklaşımı sınırlıdır; yön bağımlılığı ve bağlantılar ayrıca modellenmelidir.</x:v>
      </x:c>
    </x:row>
    <x:row r="393">
      <x:c r="A393" s="46" t="str">
        <x:v>WL-MDF-15</x:v>
      </x:c>
      <x:c r="B393" s="46" t="str">
        <x:v>Diğer rijit duvar katmanı</x:v>
      </x:c>
      <x:c r="C393" s="46" t="str">
        <x:v>MDF</x:v>
      </x:c>
      <x:c r="D393" s="46" t="str">
        <x:v>GENERIC</x:v>
      </x:c>
      <x:c r="E393" s="46" t="str">
        <x:v>MDF</x:v>
      </x:c>
      <x:c r="F393" s="70" t="str">
        <x:v>ENGINEERING_DEFAULT</x:v>
      </x:c>
      <x:c r="G393" s="54" t="n">
        <x:v>15</x:v>
      </x:c>
      <x:c r="H393" s="54" t="n">
        <x:v>750</x:v>
      </x:c>
      <x:c r="I393" s="74" t="n">
        <x:f>IF(OR(G393="",H393=""),"",G393/1000*H393)</x:f>
        <x:v>11.25</x:v>
      </x:c>
      <x:c r="J393" s="75" t="n">
        <x:v>3.5</x:v>
      </x:c>
      <x:c r="K393" s="75" t="n">
        <x:v>0.3</x:v>
      </x:c>
      <x:c r="L393" s="75" t="n">
        <x:v>0.04</x:v>
      </x:c>
      <x:c r="M393" s="75" t="n">
        <x:f>IF(OR(J393="",K393=""),"",J393/(2*(1+K393)))</x:f>
        <x:v>1.346153846153846</x:v>
      </x:c>
      <x:c r="N393" s="76" t="n">
        <x:f>IF(OR(J393="",H393="",K393=""),"",SQRT(J393*1000000000*(1-K393)/(H393*(1+K393)*(1-2*K393))))</x:f>
        <x:v>2506.402059138015</x:v>
      </x:c>
      <x:c r="O393" s="75" t="n">
        <x:f>IF(OR(H393="",N393=""),"",H393*N393/1000000)</x:f>
        <x:v>1.8798015443535112</x:v>
      </x:c>
      <x:c r="P393" s="74" t="n">
        <x:f>IF(OR(J393="",G393="",K393=""),"",J393*1000000000*(G393/1000)^3/(12*(1-K393^2)))</x:f>
        <x:v>1081.7307692307693</x:v>
      </x:c>
      <x:c r="Q393" s="76" t="n">
        <x:f>IF(OR(I393="",P393=""),"",343.2^2/(2*PI())*SQRT(I393/P393))</x:f>
        <x:v>1911.7511479613495</x:v>
      </x:c>
      <x:c r="R393" s="58"/>
      <x:c r="S393" s="62" t="n">
        <x:v>0.15</x:v>
      </x:c>
      <x:c r="T393" s="46" t="str">
        <x:v>20 °C / kuru nominal</x:v>
      </x:c>
      <x:c r="U393" s="46" t="str">
        <x:v>DÜŞÜK-ORTA</x:v>
      </x:c>
      <x:c r="V393" s="46" t="str"/>
      <x:c r="W393" s="50" t="str">
        <x:v>Ortogonal/katmanlı ürünlerde tek izotropik E yaklaşımı sınırlıdır; yön bağımlılığı ve bağlantılar ayrıca modellenmelidir.</x:v>
      </x:c>
    </x:row>
    <x:row r="394">
      <x:c r="A394" s="46" t="str">
        <x:v>WL-MDF-18</x:v>
      </x:c>
      <x:c r="B394" s="46" t="str">
        <x:v>Diğer rijit duvar katmanı</x:v>
      </x:c>
      <x:c r="C394" s="46" t="str">
        <x:v>MDF</x:v>
      </x:c>
      <x:c r="D394" s="46" t="str">
        <x:v>GENERIC</x:v>
      </x:c>
      <x:c r="E394" s="46" t="str">
        <x:v>MDF</x:v>
      </x:c>
      <x:c r="F394" s="70" t="str">
        <x:v>ENGINEERING_DEFAULT</x:v>
      </x:c>
      <x:c r="G394" s="54" t="n">
        <x:v>18</x:v>
      </x:c>
      <x:c r="H394" s="54" t="n">
        <x:v>750</x:v>
      </x:c>
      <x:c r="I394" s="74" t="n">
        <x:f>IF(OR(G394="",H394=""),"",G394/1000*H394)</x:f>
        <x:v>13.499999999999998</x:v>
      </x:c>
      <x:c r="J394" s="75" t="n">
        <x:v>3.5</x:v>
      </x:c>
      <x:c r="K394" s="75" t="n">
        <x:v>0.3</x:v>
      </x:c>
      <x:c r="L394" s="75" t="n">
        <x:v>0.04</x:v>
      </x:c>
      <x:c r="M394" s="75" t="n">
        <x:f>IF(OR(J394="",K394=""),"",J394/(2*(1+K394)))</x:f>
        <x:v>1.346153846153846</x:v>
      </x:c>
      <x:c r="N394" s="76" t="n">
        <x:f>IF(OR(J394="",H394="",K394=""),"",SQRT(J394*1000000000*(1-K394)/(H394*(1+K394)*(1-2*K394))))</x:f>
        <x:v>2506.402059138015</x:v>
      </x:c>
      <x:c r="O394" s="75" t="n">
        <x:f>IF(OR(H394="",N394=""),"",H394*N394/1000000)</x:f>
        <x:v>1.8798015443535112</x:v>
      </x:c>
      <x:c r="P394" s="74" t="n">
        <x:f>IF(OR(J394="",G394="",K394=""),"",J394*1000000000*(G394/1000)^3/(12*(1-K394^2)))</x:f>
        <x:v>1869.2307692307688</x:v>
      </x:c>
      <x:c r="Q394" s="76" t="n">
        <x:f>IF(OR(I394="",P394=""),"",343.2^2/(2*PI())*SQRT(I394/P394))</x:f>
        <x:v>1593.1259566344581</x:v>
      </x:c>
      <x:c r="R394" s="58"/>
      <x:c r="S394" s="62" t="n">
        <x:v>0.15</x:v>
      </x:c>
      <x:c r="T394" s="46" t="str">
        <x:v>20 °C / kuru nominal</x:v>
      </x:c>
      <x:c r="U394" s="46" t="str">
        <x:v>DÜŞÜK-ORTA</x:v>
      </x:c>
      <x:c r="V394" s="46" t="str"/>
      <x:c r="W394" s="50" t="str">
        <x:v>Ortogonal/katmanlı ürünlerde tek izotropik E yaklaşımı sınırlıdır; yön bağımlılığı ve bağlantılar ayrıca modellenmelidir.</x:v>
      </x:c>
    </x:row>
    <x:row r="395">
      <x:c r="A395" s="46" t="str">
        <x:v>WL-MDF-22</x:v>
      </x:c>
      <x:c r="B395" s="46" t="str">
        <x:v>Diğer rijit duvar katmanı</x:v>
      </x:c>
      <x:c r="C395" s="46" t="str">
        <x:v>MDF</x:v>
      </x:c>
      <x:c r="D395" s="46" t="str">
        <x:v>GENERIC</x:v>
      </x:c>
      <x:c r="E395" s="46" t="str">
        <x:v>MDF</x:v>
      </x:c>
      <x:c r="F395" s="70" t="str">
        <x:v>ENGINEERING_DEFAULT</x:v>
      </x:c>
      <x:c r="G395" s="54" t="n">
        <x:v>22</x:v>
      </x:c>
      <x:c r="H395" s="54" t="n">
        <x:v>750</x:v>
      </x:c>
      <x:c r="I395" s="74" t="n">
        <x:f>IF(OR(G395="",H395=""),"",G395/1000*H395)</x:f>
        <x:v>16.5</x:v>
      </x:c>
      <x:c r="J395" s="75" t="n">
        <x:v>3.5</x:v>
      </x:c>
      <x:c r="K395" s="75" t="n">
        <x:v>0.3</x:v>
      </x:c>
      <x:c r="L395" s="75" t="n">
        <x:v>0.04</x:v>
      </x:c>
      <x:c r="M395" s="75" t="n">
        <x:f>IF(OR(J395="",K395=""),"",J395/(2*(1+K395)))</x:f>
        <x:v>1.346153846153846</x:v>
      </x:c>
      <x:c r="N395" s="76" t="n">
        <x:f>IF(OR(J395="",H395="",K395=""),"",SQRT(J395*1000000000*(1-K395)/(H395*(1+K395)*(1-2*K395))))</x:f>
        <x:v>2506.402059138015</x:v>
      </x:c>
      <x:c r="O395" s="75" t="n">
        <x:f>IF(OR(H395="",N395=""),"",H395*N395/1000000)</x:f>
        <x:v>1.8798015443535112</x:v>
      </x:c>
      <x:c r="P395" s="74" t="n">
        <x:f>IF(OR(J395="",G395="",K395=""),"",J395*1000000000*(G395/1000)^3/(12*(1-K395^2)))</x:f>
        <x:v>3412.8205128205122</x:v>
      </x:c>
      <x:c r="Q395" s="76" t="n">
        <x:f>IF(OR(I395="",P395=""),"",343.2^2/(2*PI())*SQRT(I395/P395))</x:f>
        <x:v>1303.4666917918294</x:v>
      </x:c>
      <x:c r="R395" s="58"/>
      <x:c r="S395" s="62" t="n">
        <x:v>0.15</x:v>
      </x:c>
      <x:c r="T395" s="46" t="str">
        <x:v>20 °C / kuru nominal</x:v>
      </x:c>
      <x:c r="U395" s="46" t="str">
        <x:v>DÜŞÜK-ORTA</x:v>
      </x:c>
      <x:c r="V395" s="46" t="str"/>
      <x:c r="W395" s="50" t="str">
        <x:v>Ortogonal/katmanlı ürünlerde tek izotropik E yaklaşımı sınırlıdır; yön bağımlılığı ve bağlantılar ayrıca modellenmelidir.</x:v>
      </x:c>
    </x:row>
    <x:row r="396">
      <x:c r="A396" s="46" t="str">
        <x:v>WL-STEEL-0p5</x:v>
      </x:c>
      <x:c r="B396" s="46" t="str">
        <x:v>Diğer rijit duvar katmanı</x:v>
      </x:c>
      <x:c r="C396" s="46" t="str">
        <x:v>Çelik sac</x:v>
      </x:c>
      <x:c r="D396" s="46" t="str">
        <x:v>GENERIC</x:v>
      </x:c>
      <x:c r="E396" s="46" t="str">
        <x:v>STEEL</x:v>
      </x:c>
      <x:c r="F396" s="70" t="str">
        <x:v>ENGINEERING_DEFAULT</x:v>
      </x:c>
      <x:c r="G396" s="54" t="n">
        <x:v>0.5</x:v>
      </x:c>
      <x:c r="H396" s="54" t="n">
        <x:v>7850</x:v>
      </x:c>
      <x:c r="I396" s="74" t="n">
        <x:f>IF(OR(G396="",H396=""),"",G396/1000*H396)</x:f>
        <x:v>3.9250000000000003</x:v>
      </x:c>
      <x:c r="J396" s="75" t="n">
        <x:v>200</x:v>
      </x:c>
      <x:c r="K396" s="75" t="n">
        <x:v>0.3</x:v>
      </x:c>
      <x:c r="L396" s="75" t="n">
        <x:v>0.002</x:v>
      </x:c>
      <x:c r="M396" s="75" t="n">
        <x:f>IF(OR(J396="",K396=""),"",J396/(2*(1+K396)))</x:f>
        <x:v>76.92307692307692</x:v>
      </x:c>
      <x:c r="N396" s="76" t="n">
        <x:f>IF(OR(J396="",H396="",K396=""),"",SQRT(J396*1000000000*(1-K396)/(H396*(1+K396)*(1-2*K396))))</x:f>
        <x:v>5856.3566556183205</x:v>
      </x:c>
      <x:c r="O396" s="75" t="n">
        <x:f>IF(OR(H396="",N396=""),"",H396*N396/1000000)</x:f>
        <x:v>45.97239974660382</x:v>
      </x:c>
      <x:c r="P396" s="74" t="n">
        <x:f>IF(OR(J396="",G396="",K396=""),"",J396*1000000000*(G396/1000)^3/(12*(1-K396^2)))</x:f>
        <x:v>2.2893772893772892</x:v>
      </x:c>
      <x:c r="Q396" s="76" t="n">
        <x:f>IF(OR(I396="",P396=""),"",343.2^2/(2*PI())*SQRT(I396/P396))</x:f>
        <x:v>24545.723368194795</x:v>
      </x:c>
      <x:c r="R396" s="58"/>
      <x:c r="S396" s="62" t="n">
        <x:v>50</x:v>
      </x:c>
      <x:c r="T396" s="46" t="str">
        <x:v>20 °C / kuru nominal</x:v>
      </x:c>
      <x:c r="U396" s="46" t="str">
        <x:v>DÜŞÜK-ORTA</x:v>
      </x:c>
      <x:c r="V396" s="46" t="str"/>
      <x:c r="W396" s="50" t="str">
        <x:v>Ortogonal/katmanlı ürünlerde tek izotropik E yaklaşımı sınırlıdır; yön bağımlılığı ve bağlantılar ayrıca modellenmelidir.</x:v>
      </x:c>
    </x:row>
    <x:row r="397">
      <x:c r="A397" s="46" t="str">
        <x:v>WL-STEEL-0p7</x:v>
      </x:c>
      <x:c r="B397" s="46" t="str">
        <x:v>Diğer rijit duvar katmanı</x:v>
      </x:c>
      <x:c r="C397" s="46" t="str">
        <x:v>Çelik sac</x:v>
      </x:c>
      <x:c r="D397" s="46" t="str">
        <x:v>GENERIC</x:v>
      </x:c>
      <x:c r="E397" s="46" t="str">
        <x:v>STEEL</x:v>
      </x:c>
      <x:c r="F397" s="70" t="str">
        <x:v>ENGINEERING_DEFAULT</x:v>
      </x:c>
      <x:c r="G397" s="54" t="n">
        <x:v>0.7</x:v>
      </x:c>
      <x:c r="H397" s="54" t="n">
        <x:v>7850</x:v>
      </x:c>
      <x:c r="I397" s="74" t="n">
        <x:f>IF(OR(G397="",H397=""),"",G397/1000*H397)</x:f>
        <x:v>5.495</x:v>
      </x:c>
      <x:c r="J397" s="75" t="n">
        <x:v>200</x:v>
      </x:c>
      <x:c r="K397" s="75" t="n">
        <x:v>0.3</x:v>
      </x:c>
      <x:c r="L397" s="75" t="n">
        <x:v>0.002</x:v>
      </x:c>
      <x:c r="M397" s="75" t="n">
        <x:f>IF(OR(J397="",K397=""),"",J397/(2*(1+K397)))</x:f>
        <x:v>76.92307692307692</x:v>
      </x:c>
      <x:c r="N397" s="76" t="n">
        <x:f>IF(OR(J397="",H397="",K397=""),"",SQRT(J397*1000000000*(1-K397)/(H397*(1+K397)*(1-2*K397))))</x:f>
        <x:v>5856.3566556183205</x:v>
      </x:c>
      <x:c r="O397" s="75" t="n">
        <x:f>IF(OR(H397="",N397=""),"",H397*N397/1000000)</x:f>
        <x:v>45.97239974660382</x:v>
      </x:c>
      <x:c r="P397" s="74" t="n">
        <x:f>IF(OR(J397="",G397="",K397=""),"",J397*1000000000*(G397/1000)^3/(12*(1-K397^2)))</x:f>
        <x:v>6.282051282051282</x:v>
      </x:c>
      <x:c r="Q397" s="76" t="n">
        <x:f>IF(OR(I397="",P397=""),"",343.2^2/(2*PI())*SQRT(I397/P397))</x:f>
        <x:v>17532.659548710566</x:v>
      </x:c>
      <x:c r="R397" s="58"/>
      <x:c r="S397" s="62" t="n">
        <x:v>50</x:v>
      </x:c>
      <x:c r="T397" s="46" t="str">
        <x:v>20 °C / kuru nominal</x:v>
      </x:c>
      <x:c r="U397" s="46" t="str">
        <x:v>DÜŞÜK-ORTA</x:v>
      </x:c>
      <x:c r="V397" s="46" t="str"/>
      <x:c r="W397" s="50" t="str">
        <x:v>Ortogonal/katmanlı ürünlerde tek izotropik E yaklaşımı sınırlıdır; yön bağımlılığı ve bağlantılar ayrıca modellenmelidir.</x:v>
      </x:c>
    </x:row>
    <x:row r="398">
      <x:c r="A398" s="46" t="str">
        <x:v>WL-STEEL-1p0</x:v>
      </x:c>
      <x:c r="B398" s="46" t="str">
        <x:v>Diğer rijit duvar katmanı</x:v>
      </x:c>
      <x:c r="C398" s="46" t="str">
        <x:v>Çelik sac</x:v>
      </x:c>
      <x:c r="D398" s="46" t="str">
        <x:v>GENERIC</x:v>
      </x:c>
      <x:c r="E398" s="46" t="str">
        <x:v>STEEL</x:v>
      </x:c>
      <x:c r="F398" s="70" t="str">
        <x:v>ENGINEERING_DEFAULT</x:v>
      </x:c>
      <x:c r="G398" s="54" t="n">
        <x:v>1</x:v>
      </x:c>
      <x:c r="H398" s="54" t="n">
        <x:v>7850</x:v>
      </x:c>
      <x:c r="I398" s="74" t="n">
        <x:f>IF(OR(G398="",H398=""),"",G398/1000*H398)</x:f>
        <x:v>7.8500000000000005</x:v>
      </x:c>
      <x:c r="J398" s="75" t="n">
        <x:v>200</x:v>
      </x:c>
      <x:c r="K398" s="75" t="n">
        <x:v>0.3</x:v>
      </x:c>
      <x:c r="L398" s="75" t="n">
        <x:v>0.002</x:v>
      </x:c>
      <x:c r="M398" s="75" t="n">
        <x:f>IF(OR(J398="",K398=""),"",J398/(2*(1+K398)))</x:f>
        <x:v>76.92307692307692</x:v>
      </x:c>
      <x:c r="N398" s="76" t="n">
        <x:f>IF(OR(J398="",H398="",K398=""),"",SQRT(J398*1000000000*(1-K398)/(H398*(1+K398)*(1-2*K398))))</x:f>
        <x:v>5856.3566556183205</x:v>
      </x:c>
      <x:c r="O398" s="75" t="n">
        <x:f>IF(OR(H398="",N398=""),"",H398*N398/1000000)</x:f>
        <x:v>45.97239974660382</x:v>
      </x:c>
      <x:c r="P398" s="74" t="n">
        <x:f>IF(OR(J398="",G398="",K398=""),"",J398*1000000000*(G398/1000)^3/(12*(1-K398^2)))</x:f>
        <x:v>18.315018315018314</x:v>
      </x:c>
      <x:c r="Q398" s="76" t="n">
        <x:f>IF(OR(I398="",P398=""),"",343.2^2/(2*PI())*SQRT(I398/P398))</x:f>
        <x:v>12272.861684097397</x:v>
      </x:c>
      <x:c r="R398" s="58"/>
      <x:c r="S398" s="62" t="n">
        <x:v>50</x:v>
      </x:c>
      <x:c r="T398" s="46" t="str">
        <x:v>20 °C / kuru nominal</x:v>
      </x:c>
      <x:c r="U398" s="46" t="str">
        <x:v>DÜŞÜK-ORTA</x:v>
      </x:c>
      <x:c r="V398" s="46" t="str"/>
      <x:c r="W398" s="50" t="str">
        <x:v>Ortogonal/katmanlı ürünlerde tek izotropik E yaklaşımı sınırlıdır; yön bağımlılığı ve bağlantılar ayrıca modellenmelidir.</x:v>
      </x:c>
    </x:row>
    <x:row r="399">
      <x:c r="A399" s="46" t="str">
        <x:v>WL-STEEL-1p5</x:v>
      </x:c>
      <x:c r="B399" s="46" t="str">
        <x:v>Diğer rijit duvar katmanı</x:v>
      </x:c>
      <x:c r="C399" s="46" t="str">
        <x:v>Çelik sac</x:v>
      </x:c>
      <x:c r="D399" s="46" t="str">
        <x:v>GENERIC</x:v>
      </x:c>
      <x:c r="E399" s="46" t="str">
        <x:v>STEEL</x:v>
      </x:c>
      <x:c r="F399" s="70" t="str">
        <x:v>ENGINEERING_DEFAULT</x:v>
      </x:c>
      <x:c r="G399" s="54" t="n">
        <x:v>1.5</x:v>
      </x:c>
      <x:c r="H399" s="54" t="n">
        <x:v>7850</x:v>
      </x:c>
      <x:c r="I399" s="74" t="n">
        <x:f>IF(OR(G399="",H399=""),"",G399/1000*H399)</x:f>
        <x:v>11.775</x:v>
      </x:c>
      <x:c r="J399" s="75" t="n">
        <x:v>200</x:v>
      </x:c>
      <x:c r="K399" s="75" t="n">
        <x:v>0.3</x:v>
      </x:c>
      <x:c r="L399" s="75" t="n">
        <x:v>0.002</x:v>
      </x:c>
      <x:c r="M399" s="75" t="n">
        <x:f>IF(OR(J399="",K399=""),"",J399/(2*(1+K399)))</x:f>
        <x:v>76.92307692307692</x:v>
      </x:c>
      <x:c r="N399" s="76" t="n">
        <x:f>IF(OR(J399="",H399="",K399=""),"",SQRT(J399*1000000000*(1-K399)/(H399*(1+K399)*(1-2*K399))))</x:f>
        <x:v>5856.3566556183205</x:v>
      </x:c>
      <x:c r="O399" s="75" t="n">
        <x:f>IF(OR(H399="",N399=""),"",H399*N399/1000000)</x:f>
        <x:v>45.97239974660382</x:v>
      </x:c>
      <x:c r="P399" s="74" t="n">
        <x:f>IF(OR(J399="",G399="",K399=""),"",J399*1000000000*(G399/1000)^3/(12*(1-K399^2)))</x:f>
        <x:v>61.81318681318681</x:v>
      </x:c>
      <x:c r="Q399" s="76" t="n">
        <x:f>IF(OR(I399="",P399=""),"",343.2^2/(2*PI())*SQRT(I399/P399))</x:f>
        <x:v>8181.907789398265</x:v>
      </x:c>
      <x:c r="R399" s="58"/>
      <x:c r="S399" s="62" t="n">
        <x:v>50</x:v>
      </x:c>
      <x:c r="T399" s="46" t="str">
        <x:v>20 °C / kuru nominal</x:v>
      </x:c>
      <x:c r="U399" s="46" t="str">
        <x:v>DÜŞÜK-ORTA</x:v>
      </x:c>
      <x:c r="V399" s="46" t="str"/>
      <x:c r="W399" s="50" t="str">
        <x:v>Ortogonal/katmanlı ürünlerde tek izotropik E yaklaşımı sınırlıdır; yön bağımlılığı ve bağlantılar ayrıca modellenmelidir.</x:v>
      </x:c>
    </x:row>
    <x:row r="400">
      <x:c r="A400" s="46" t="str">
        <x:v>WL-STEEL-2p0</x:v>
      </x:c>
      <x:c r="B400" s="46" t="str">
        <x:v>Diğer rijit duvar katmanı</x:v>
      </x:c>
      <x:c r="C400" s="46" t="str">
        <x:v>Çelik sac</x:v>
      </x:c>
      <x:c r="D400" s="46" t="str">
        <x:v>GENERIC</x:v>
      </x:c>
      <x:c r="E400" s="46" t="str">
        <x:v>STEEL</x:v>
      </x:c>
      <x:c r="F400" s="70" t="str">
        <x:v>ENGINEERING_DEFAULT</x:v>
      </x:c>
      <x:c r="G400" s="54" t="n">
        <x:v>2</x:v>
      </x:c>
      <x:c r="H400" s="54" t="n">
        <x:v>7850</x:v>
      </x:c>
      <x:c r="I400" s="74" t="n">
        <x:f>IF(OR(G400="",H400=""),"",G400/1000*H400)</x:f>
        <x:v>15.700000000000001</x:v>
      </x:c>
      <x:c r="J400" s="75" t="n">
        <x:v>200</x:v>
      </x:c>
      <x:c r="K400" s="75" t="n">
        <x:v>0.3</x:v>
      </x:c>
      <x:c r="L400" s="75" t="n">
        <x:v>0.002</x:v>
      </x:c>
      <x:c r="M400" s="75" t="n">
        <x:f>IF(OR(J400="",K400=""),"",J400/(2*(1+K400)))</x:f>
        <x:v>76.92307692307692</x:v>
      </x:c>
      <x:c r="N400" s="76" t="n">
        <x:f>IF(OR(J400="",H400="",K400=""),"",SQRT(J400*1000000000*(1-K400)/(H400*(1+K400)*(1-2*K400))))</x:f>
        <x:v>5856.3566556183205</x:v>
      </x:c>
      <x:c r="O400" s="75" t="n">
        <x:f>IF(OR(H400="",N400=""),"",H400*N400/1000000)</x:f>
        <x:v>45.97239974660382</x:v>
      </x:c>
      <x:c r="P400" s="74" t="n">
        <x:f>IF(OR(J400="",G400="",K400=""),"",J400*1000000000*(G400/1000)^3/(12*(1-K400^2)))</x:f>
        <x:v>146.5201465201465</x:v>
      </x:c>
      <x:c r="Q400" s="76" t="n">
        <x:f>IF(OR(I400="",P400=""),"",343.2^2/(2*PI())*SQRT(I400/P400))</x:f>
        <x:v>6136.430842048699</x:v>
      </x:c>
      <x:c r="R400" s="58"/>
      <x:c r="S400" s="62" t="n">
        <x:v>50</x:v>
      </x:c>
      <x:c r="T400" s="46" t="str">
        <x:v>20 °C / kuru nominal</x:v>
      </x:c>
      <x:c r="U400" s="46" t="str">
        <x:v>DÜŞÜK-ORTA</x:v>
      </x:c>
      <x:c r="V400" s="46" t="str"/>
      <x:c r="W400" s="50" t="str">
        <x:v>Ortogonal/katmanlı ürünlerde tek izotropik E yaklaşımı sınırlıdır; yön bağımlılığı ve bağlantılar ayrıca modellenmelidir.</x:v>
      </x:c>
    </x:row>
    <x:row r="401">
      <x:c r="A401" s="46" t="str">
        <x:v>WL-STEEL-3p0</x:v>
      </x:c>
      <x:c r="B401" s="46" t="str">
        <x:v>Diğer rijit duvar katmanı</x:v>
      </x:c>
      <x:c r="C401" s="46" t="str">
        <x:v>Çelik sac</x:v>
      </x:c>
      <x:c r="D401" s="46" t="str">
        <x:v>GENERIC</x:v>
      </x:c>
      <x:c r="E401" s="46" t="str">
        <x:v>STEEL</x:v>
      </x:c>
      <x:c r="F401" s="70" t="str">
        <x:v>ENGINEERING_DEFAULT</x:v>
      </x:c>
      <x:c r="G401" s="54" t="n">
        <x:v>3</x:v>
      </x:c>
      <x:c r="H401" s="54" t="n">
        <x:v>7850</x:v>
      </x:c>
      <x:c r="I401" s="74" t="n">
        <x:f>IF(OR(G401="",H401=""),"",G401/1000*H401)</x:f>
        <x:v>23.55</x:v>
      </x:c>
      <x:c r="J401" s="75" t="n">
        <x:v>200</x:v>
      </x:c>
      <x:c r="K401" s="75" t="n">
        <x:v>0.3</x:v>
      </x:c>
      <x:c r="L401" s="75" t="n">
        <x:v>0.002</x:v>
      </x:c>
      <x:c r="M401" s="75" t="n">
        <x:f>IF(OR(J401="",K401=""),"",J401/(2*(1+K401)))</x:f>
        <x:v>76.92307692307692</x:v>
      </x:c>
      <x:c r="N401" s="76" t="n">
        <x:f>IF(OR(J401="",H401="",K401=""),"",SQRT(J401*1000000000*(1-K401)/(H401*(1+K401)*(1-2*K401))))</x:f>
        <x:v>5856.3566556183205</x:v>
      </x:c>
      <x:c r="O401" s="75" t="n">
        <x:f>IF(OR(H401="",N401=""),"",H401*N401/1000000)</x:f>
        <x:v>45.97239974660382</x:v>
      </x:c>
      <x:c r="P401" s="74" t="n">
        <x:f>IF(OR(J401="",G401="",K401=""),"",J401*1000000000*(G401/1000)^3/(12*(1-K401^2)))</x:f>
        <x:v>494.5054945054945</x:v>
      </x:c>
      <x:c r="Q401" s="76" t="n">
        <x:f>IF(OR(I401="",P401=""),"",343.2^2/(2*PI())*SQRT(I401/P401))</x:f>
        <x:v>4090.9538946991324</x:v>
      </x:c>
      <x:c r="R401" s="58"/>
      <x:c r="S401" s="62" t="n">
        <x:v>50</x:v>
      </x:c>
      <x:c r="T401" s="46" t="str">
        <x:v>20 °C / kuru nominal</x:v>
      </x:c>
      <x:c r="U401" s="46" t="str">
        <x:v>DÜŞÜK-ORTA</x:v>
      </x:c>
      <x:c r="V401" s="46" t="str"/>
      <x:c r="W401" s="50" t="str">
        <x:v>Ortogonal/katmanlı ürünlerde tek izotropik E yaklaşımı sınırlıdır; yön bağımlılığı ve bağlantılar ayrıca modellenmelidir.</x:v>
      </x:c>
    </x:row>
    <x:row r="402">
      <x:c r="A402" s="46" t="str">
        <x:v>WL-ALUMINIUM-0p8</x:v>
      </x:c>
      <x:c r="B402" s="46" t="str">
        <x:v>Diğer rijit duvar katmanı</x:v>
      </x:c>
      <x:c r="C402" s="46" t="str">
        <x:v>Alüminyum sac</x:v>
      </x:c>
      <x:c r="D402" s="46" t="str">
        <x:v>GENERIC</x:v>
      </x:c>
      <x:c r="E402" s="46" t="str">
        <x:v>ALUMINIUM</x:v>
      </x:c>
      <x:c r="F402" s="70" t="str">
        <x:v>ENGINEERING_DEFAULT</x:v>
      </x:c>
      <x:c r="G402" s="54" t="n">
        <x:v>0.8</x:v>
      </x:c>
      <x:c r="H402" s="54" t="n">
        <x:v>2700</x:v>
      </x:c>
      <x:c r="I402" s="74" t="n">
        <x:f>IF(OR(G402="",H402=""),"",G402/1000*H402)</x:f>
        <x:v>2.16</x:v>
      </x:c>
      <x:c r="J402" s="75" t="n">
        <x:v>69</x:v>
      </x:c>
      <x:c r="K402" s="75" t="n">
        <x:v>0.33</x:v>
      </x:c>
      <x:c r="L402" s="75" t="n">
        <x:v>0.002</x:v>
      </x:c>
      <x:c r="M402" s="75" t="n">
        <x:f>IF(OR(J402="",K402=""),"",J402/(2*(1+K402)))</x:f>
        <x:v>25.939849624060148</x:v>
      </x:c>
      <x:c r="N402" s="76" t="n">
        <x:f>IF(OR(J402="",H402="",K402=""),"",SQRT(J402*1000000000*(1-K402)/(H402*(1+K402)*(1-2*K402))))</x:f>
        <x:v>6153.394877173357</x:v>
      </x:c>
      <x:c r="O402" s="75" t="n">
        <x:f>IF(OR(H402="",N402=""),"",H402*N402/1000000)</x:f>
        <x:v>16.614166168368065</x:v>
      </x:c>
      <x:c r="P402" s="74" t="n">
        <x:f>IF(OR(J402="",G402="",K402=""),"",J402*1000000000*(G402/1000)^3/(12*(1-K402^2)))</x:f>
        <x:v>3.3037818426663668</x:v>
      </x:c>
      <x:c r="Q402" s="76" t="n">
        <x:f>IF(OR(I402="",P402=""),"",343.2^2/(2*PI())*SQRT(I402/P402))</x:f>
        <x:v>15157.789952187957</x:v>
      </x:c>
      <x:c r="R402" s="58"/>
      <x:c r="S402" s="62" t="n">
        <x:v>160</x:v>
      </x:c>
      <x:c r="T402" s="46" t="str">
        <x:v>20 °C / kuru nominal</x:v>
      </x:c>
      <x:c r="U402" s="46" t="str">
        <x:v>DÜŞÜK-ORTA</x:v>
      </x:c>
      <x:c r="V402" s="46" t="str"/>
      <x:c r="W402" s="50" t="str">
        <x:v>Ortogonal/katmanlı ürünlerde tek izotropik E yaklaşımı sınırlıdır; yön bağımlılığı ve bağlantılar ayrıca modellenmelidir.</x:v>
      </x:c>
    </x:row>
    <x:row r="403">
      <x:c r="A403" s="46" t="str">
        <x:v>WL-ALUMINIUM-1p0</x:v>
      </x:c>
      <x:c r="B403" s="46" t="str">
        <x:v>Diğer rijit duvar katmanı</x:v>
      </x:c>
      <x:c r="C403" s="46" t="str">
        <x:v>Alüminyum sac</x:v>
      </x:c>
      <x:c r="D403" s="46" t="str">
        <x:v>GENERIC</x:v>
      </x:c>
      <x:c r="E403" s="46" t="str">
        <x:v>ALUMINIUM</x:v>
      </x:c>
      <x:c r="F403" s="70" t="str">
        <x:v>ENGINEERING_DEFAULT</x:v>
      </x:c>
      <x:c r="G403" s="54" t="n">
        <x:v>1</x:v>
      </x:c>
      <x:c r="H403" s="54" t="n">
        <x:v>2700</x:v>
      </x:c>
      <x:c r="I403" s="74" t="n">
        <x:f>IF(OR(G403="",H403=""),"",G403/1000*H403)</x:f>
        <x:v>2.7</x:v>
      </x:c>
      <x:c r="J403" s="75" t="n">
        <x:v>69</x:v>
      </x:c>
      <x:c r="K403" s="75" t="n">
        <x:v>0.33</x:v>
      </x:c>
      <x:c r="L403" s="75" t="n">
        <x:v>0.002</x:v>
      </x:c>
      <x:c r="M403" s="75" t="n">
        <x:f>IF(OR(J403="",K403=""),"",J403/(2*(1+K403)))</x:f>
        <x:v>25.939849624060148</x:v>
      </x:c>
      <x:c r="N403" s="76" t="n">
        <x:f>IF(OR(J403="",H403="",K403=""),"",SQRT(J403*1000000000*(1-K403)/(H403*(1+K403)*(1-2*K403))))</x:f>
        <x:v>6153.394877173357</x:v>
      </x:c>
      <x:c r="O403" s="75" t="n">
        <x:f>IF(OR(H403="",N403=""),"",H403*N403/1000000)</x:f>
        <x:v>16.614166168368065</x:v>
      </x:c>
      <x:c r="P403" s="74" t="n">
        <x:f>IF(OR(J403="",G403="",K403=""),"",J403*1000000000*(G403/1000)^3/(12*(1-K403^2)))</x:f>
        <x:v>6.452698911457748</x:v>
      </x:c>
      <x:c r="Q403" s="76" t="n">
        <x:f>IF(OR(I403="",P403=""),"",343.2^2/(2*PI())*SQRT(I403/P403))</x:f>
        <x:v>12126.231961750364</x:v>
      </x:c>
      <x:c r="R403" s="58"/>
      <x:c r="S403" s="62" t="n">
        <x:v>160</x:v>
      </x:c>
      <x:c r="T403" s="46" t="str">
        <x:v>20 °C / kuru nominal</x:v>
      </x:c>
      <x:c r="U403" s="46" t="str">
        <x:v>DÜŞÜK-ORTA</x:v>
      </x:c>
      <x:c r="V403" s="46" t="str"/>
      <x:c r="W403" s="50" t="str">
        <x:v>Ortogonal/katmanlı ürünlerde tek izotropik E yaklaşımı sınırlıdır; yön bağımlılığı ve bağlantılar ayrıca modellenmelidir.</x:v>
      </x:c>
    </x:row>
    <x:row r="404">
      <x:c r="A404" s="46" t="str">
        <x:v>WL-ALUMINIUM-1p5</x:v>
      </x:c>
      <x:c r="B404" s="46" t="str">
        <x:v>Diğer rijit duvar katmanı</x:v>
      </x:c>
      <x:c r="C404" s="46" t="str">
        <x:v>Alüminyum sac</x:v>
      </x:c>
      <x:c r="D404" s="46" t="str">
        <x:v>GENERIC</x:v>
      </x:c>
      <x:c r="E404" s="46" t="str">
        <x:v>ALUMINIUM</x:v>
      </x:c>
      <x:c r="F404" s="70" t="str">
        <x:v>ENGINEERING_DEFAULT</x:v>
      </x:c>
      <x:c r="G404" s="54" t="n">
        <x:v>1.5</x:v>
      </x:c>
      <x:c r="H404" s="54" t="n">
        <x:v>2700</x:v>
      </x:c>
      <x:c r="I404" s="74" t="n">
        <x:f>IF(OR(G404="",H404=""),"",G404/1000*H404)</x:f>
        <x:v>4.05</x:v>
      </x:c>
      <x:c r="J404" s="75" t="n">
        <x:v>69</x:v>
      </x:c>
      <x:c r="K404" s="75" t="n">
        <x:v>0.33</x:v>
      </x:c>
      <x:c r="L404" s="75" t="n">
        <x:v>0.002</x:v>
      </x:c>
      <x:c r="M404" s="75" t="n">
        <x:f>IF(OR(J404="",K404=""),"",J404/(2*(1+K404)))</x:f>
        <x:v>25.939849624060148</x:v>
      </x:c>
      <x:c r="N404" s="76" t="n">
        <x:f>IF(OR(J404="",H404="",K404=""),"",SQRT(J404*1000000000*(1-K404)/(H404*(1+K404)*(1-2*K404))))</x:f>
        <x:v>6153.394877173357</x:v>
      </x:c>
      <x:c r="O404" s="75" t="n">
        <x:f>IF(OR(H404="",N404=""),"",H404*N404/1000000)</x:f>
        <x:v>16.614166168368065</x:v>
      </x:c>
      <x:c r="P404" s="74" t="n">
        <x:f>IF(OR(J404="",G404="",K404=""),"",J404*1000000000*(G404/1000)^3/(12*(1-K404^2)))</x:f>
        <x:v>21.7778588261699</x:v>
      </x:c>
      <x:c r="Q404" s="76" t="n">
        <x:f>IF(OR(I404="",P404=""),"",343.2^2/(2*PI())*SQRT(I404/P404))</x:f>
        <x:v>8084.154641166909</x:v>
      </x:c>
      <x:c r="R404" s="58"/>
      <x:c r="S404" s="62" t="n">
        <x:v>160</x:v>
      </x:c>
      <x:c r="T404" s="46" t="str">
        <x:v>20 °C / kuru nominal</x:v>
      </x:c>
      <x:c r="U404" s="46" t="str">
        <x:v>DÜŞÜK-ORTA</x:v>
      </x:c>
      <x:c r="V404" s="46" t="str"/>
      <x:c r="W404" s="50" t="str">
        <x:v>Ortogonal/katmanlı ürünlerde tek izotropik E yaklaşımı sınırlıdır; yön bağımlılığı ve bağlantılar ayrıca modellenmelidir.</x:v>
      </x:c>
    </x:row>
    <x:row r="405">
      <x:c r="A405" s="46" t="str">
        <x:v>WL-ALUMINIUM-2p0</x:v>
      </x:c>
      <x:c r="B405" s="46" t="str">
        <x:v>Diğer rijit duvar katmanı</x:v>
      </x:c>
      <x:c r="C405" s="46" t="str">
        <x:v>Alüminyum sac</x:v>
      </x:c>
      <x:c r="D405" s="46" t="str">
        <x:v>GENERIC</x:v>
      </x:c>
      <x:c r="E405" s="46" t="str">
        <x:v>ALUMINIUM</x:v>
      </x:c>
      <x:c r="F405" s="70" t="str">
        <x:v>ENGINEERING_DEFAULT</x:v>
      </x:c>
      <x:c r="G405" s="54" t="n">
        <x:v>2</x:v>
      </x:c>
      <x:c r="H405" s="54" t="n">
        <x:v>2700</x:v>
      </x:c>
      <x:c r="I405" s="74" t="n">
        <x:f>IF(OR(G405="",H405=""),"",G405/1000*H405)</x:f>
        <x:v>5.4</x:v>
      </x:c>
      <x:c r="J405" s="75" t="n">
        <x:v>69</x:v>
      </x:c>
      <x:c r="K405" s="75" t="n">
        <x:v>0.33</x:v>
      </x:c>
      <x:c r="L405" s="75" t="n">
        <x:v>0.002</x:v>
      </x:c>
      <x:c r="M405" s="75" t="n">
        <x:f>IF(OR(J405="",K405=""),"",J405/(2*(1+K405)))</x:f>
        <x:v>25.939849624060148</x:v>
      </x:c>
      <x:c r="N405" s="76" t="n">
        <x:f>IF(OR(J405="",H405="",K405=""),"",SQRT(J405*1000000000*(1-K405)/(H405*(1+K405)*(1-2*K405))))</x:f>
        <x:v>6153.394877173357</x:v>
      </x:c>
      <x:c r="O405" s="75" t="n">
        <x:f>IF(OR(H405="",N405=""),"",H405*N405/1000000)</x:f>
        <x:v>16.614166168368065</x:v>
      </x:c>
      <x:c r="P405" s="74" t="n">
        <x:f>IF(OR(J405="",G405="",K405=""),"",J405*1000000000*(G405/1000)^3/(12*(1-K405^2)))</x:f>
        <x:v>51.621591291661986</x:v>
      </x:c>
      <x:c r="Q405" s="76" t="n">
        <x:f>IF(OR(I405="",P405=""),"",343.2^2/(2*PI())*SQRT(I405/P405))</x:f>
        <x:v>6063.115980875182</x:v>
      </x:c>
      <x:c r="R405" s="58"/>
      <x:c r="S405" s="62" t="n">
        <x:v>160</x:v>
      </x:c>
      <x:c r="T405" s="46" t="str">
        <x:v>20 °C / kuru nominal</x:v>
      </x:c>
      <x:c r="U405" s="46" t="str">
        <x:v>DÜŞÜK-ORTA</x:v>
      </x:c>
      <x:c r="V405" s="46" t="str"/>
      <x:c r="W405" s="50" t="str">
        <x:v>Ortogonal/katmanlı ürünlerde tek izotropik E yaklaşımı sınırlıdır; yön bağımlılığı ve bağlantılar ayrıca modellenmelidir.</x:v>
      </x:c>
    </x:row>
    <x:row r="406">
      <x:c r="A406" s="46" t="str">
        <x:v>WL-ALUMINIUM-3p0</x:v>
      </x:c>
      <x:c r="B406" s="46" t="str">
        <x:v>Diğer rijit duvar katmanı</x:v>
      </x:c>
      <x:c r="C406" s="46" t="str">
        <x:v>Alüminyum sac</x:v>
      </x:c>
      <x:c r="D406" s="46" t="str">
        <x:v>GENERIC</x:v>
      </x:c>
      <x:c r="E406" s="46" t="str">
        <x:v>ALUMINIUM</x:v>
      </x:c>
      <x:c r="F406" s="70" t="str">
        <x:v>ENGINEERING_DEFAULT</x:v>
      </x:c>
      <x:c r="G406" s="54" t="n">
        <x:v>3</x:v>
      </x:c>
      <x:c r="H406" s="54" t="n">
        <x:v>2700</x:v>
      </x:c>
      <x:c r="I406" s="74" t="n">
        <x:f>IF(OR(G406="",H406=""),"",G406/1000*H406)</x:f>
        <x:v>8.1</x:v>
      </x:c>
      <x:c r="J406" s="75" t="n">
        <x:v>69</x:v>
      </x:c>
      <x:c r="K406" s="75" t="n">
        <x:v>0.33</x:v>
      </x:c>
      <x:c r="L406" s="75" t="n">
        <x:v>0.002</x:v>
      </x:c>
      <x:c r="M406" s="75" t="n">
        <x:f>IF(OR(J406="",K406=""),"",J406/(2*(1+K406)))</x:f>
        <x:v>25.939849624060148</x:v>
      </x:c>
      <x:c r="N406" s="76" t="n">
        <x:f>IF(OR(J406="",H406="",K406=""),"",SQRT(J406*1000000000*(1-K406)/(H406*(1+K406)*(1-2*K406))))</x:f>
        <x:v>6153.394877173357</x:v>
      </x:c>
      <x:c r="O406" s="75" t="n">
        <x:f>IF(OR(H406="",N406=""),"",H406*N406/1000000)</x:f>
        <x:v>16.614166168368065</x:v>
      </x:c>
      <x:c r="P406" s="74" t="n">
        <x:f>IF(OR(J406="",G406="",K406=""),"",J406*1000000000*(G406/1000)^3/(12*(1-K406^2)))</x:f>
        <x:v>174.2228706093592</x:v>
      </x:c>
      <x:c r="Q406" s="76" t="n">
        <x:f>IF(OR(I406="",P406=""),"",343.2^2/(2*PI())*SQRT(I406/P406))</x:f>
        <x:v>4042.0773205834544</x:v>
      </x:c>
      <x:c r="R406" s="58"/>
      <x:c r="S406" s="62" t="n">
        <x:v>160</x:v>
      </x:c>
      <x:c r="T406" s="46" t="str">
        <x:v>20 °C / kuru nominal</x:v>
      </x:c>
      <x:c r="U406" s="46" t="str">
        <x:v>DÜŞÜK-ORTA</x:v>
      </x:c>
      <x:c r="V406" s="46" t="str"/>
      <x:c r="W406" s="50" t="str">
        <x:v>Ortogonal/katmanlı ürünlerde tek izotropik E yaklaşımı sınırlıdır; yön bağımlılığı ve bağlantılar ayrıca modellenmelidir.</x:v>
      </x:c>
    </x:row>
    <x:row r="407">
      <x:c r="A407" s="46" t="str">
        <x:v>WL-GLASS-4</x:v>
      </x:c>
      <x:c r="B407" s="46" t="str">
        <x:v>Diğer rijit duvar katmanı</x:v>
      </x:c>
      <x:c r="C407" s="46" t="str">
        <x:v>Soda-kireç düz cam</x:v>
      </x:c>
      <x:c r="D407" s="46" t="str">
        <x:v>GENERIC</x:v>
      </x:c>
      <x:c r="E407" s="46" t="str">
        <x:v>GLASS</x:v>
      </x:c>
      <x:c r="F407" s="70" t="str">
        <x:v>ENGINEERING_DEFAULT</x:v>
      </x:c>
      <x:c r="G407" s="54" t="n">
        <x:v>4</x:v>
      </x:c>
      <x:c r="H407" s="54" t="n">
        <x:v>2500</x:v>
      </x:c>
      <x:c r="I407" s="74" t="n">
        <x:f>IF(OR(G407="",H407=""),"",G407/1000*H407)</x:f>
        <x:v>10</x:v>
      </x:c>
      <x:c r="J407" s="75" t="n">
        <x:v>70</x:v>
      </x:c>
      <x:c r="K407" s="75" t="n">
        <x:v>0.22</x:v>
      </x:c>
      <x:c r="L407" s="75" t="n">
        <x:v>0.001</x:v>
      </x:c>
      <x:c r="M407" s="75" t="n">
        <x:f>IF(OR(J407="",K407=""),"",J407/(2*(1+K407)))</x:f>
        <x:v>28.688524590163937</x:v>
      </x:c>
      <x:c r="N407" s="76" t="n">
        <x:f>IF(OR(J407="",H407="",K407=""),"",SQRT(J407*1000000000*(1-K407)/(H407*(1+K407)*(1-2*K407))))</x:f>
        <x:v>5653.9555281903395</x:v>
      </x:c>
      <x:c r="O407" s="75" t="n">
        <x:f>IF(OR(H407="",N407=""),"",H407*N407/1000000)</x:f>
        <x:v>14.13488882047585</x:v>
      </x:c>
      <x:c r="P407" s="74" t="n">
        <x:f>IF(OR(J407="",G407="",K407=""),"",J407*1000000000*(G407/1000)^3/(12*(1-K407^2)))</x:f>
        <x:v>392.3217037971136</x:v>
      </x:c>
      <x:c r="Q407" s="76" t="n">
        <x:f>IF(OR(I407="",P407=""),"",343.2^2/(2*PI())*SQRT(I407/P407))</x:f>
        <x:v>2992.9090721718317</x:v>
      </x:c>
      <x:c r="R407" s="58"/>
      <x:c r="S407" s="62" t="n">
        <x:v>1</x:v>
      </x:c>
      <x:c r="T407" s="46" t="str">
        <x:v>20 °C / kuru nominal</x:v>
      </x:c>
      <x:c r="U407" s="46" t="str">
        <x:v>DÜŞÜK-ORTA</x:v>
      </x:c>
      <x:c r="V407" s="46" t="str"/>
      <x:c r="W407" s="50" t="str">
        <x:v>Ortogonal/katmanlı ürünlerde tek izotropik E yaklaşımı sınırlıdır; yön bağımlılığı ve bağlantılar ayrıca modellenmelidir.</x:v>
      </x:c>
    </x:row>
    <x:row r="408">
      <x:c r="A408" s="46" t="str">
        <x:v>WL-GLASS-6</x:v>
      </x:c>
      <x:c r="B408" s="46" t="str">
        <x:v>Diğer rijit duvar katmanı</x:v>
      </x:c>
      <x:c r="C408" s="46" t="str">
        <x:v>Soda-kireç düz cam</x:v>
      </x:c>
      <x:c r="D408" s="46" t="str">
        <x:v>GENERIC</x:v>
      </x:c>
      <x:c r="E408" s="46" t="str">
        <x:v>GLASS</x:v>
      </x:c>
      <x:c r="F408" s="70" t="str">
        <x:v>ENGINEERING_DEFAULT</x:v>
      </x:c>
      <x:c r="G408" s="54" t="n">
        <x:v>6</x:v>
      </x:c>
      <x:c r="H408" s="54" t="n">
        <x:v>2500</x:v>
      </x:c>
      <x:c r="I408" s="74" t="n">
        <x:f>IF(OR(G408="",H408=""),"",G408/1000*H408)</x:f>
        <x:v>15</x:v>
      </x:c>
      <x:c r="J408" s="75" t="n">
        <x:v>70</x:v>
      </x:c>
      <x:c r="K408" s="75" t="n">
        <x:v>0.22</x:v>
      </x:c>
      <x:c r="L408" s="75" t="n">
        <x:v>0.001</x:v>
      </x:c>
      <x:c r="M408" s="75" t="n">
        <x:f>IF(OR(J408="",K408=""),"",J408/(2*(1+K408)))</x:f>
        <x:v>28.688524590163937</x:v>
      </x:c>
      <x:c r="N408" s="76" t="n">
        <x:f>IF(OR(J408="",H408="",K408=""),"",SQRT(J408*1000000000*(1-K408)/(H408*(1+K408)*(1-2*K408))))</x:f>
        <x:v>5653.9555281903395</x:v>
      </x:c>
      <x:c r="O408" s="75" t="n">
        <x:f>IF(OR(H408="",N408=""),"",H408*N408/1000000)</x:f>
        <x:v>14.13488882047585</x:v>
      </x:c>
      <x:c r="P408" s="74" t="n">
        <x:f>IF(OR(J408="",G408="",K408=""),"",J408*1000000000*(G408/1000)^3/(12*(1-K408^2)))</x:f>
        <x:v>1324.0857503152586</x:v>
      </x:c>
      <x:c r="Q408" s="76" t="n">
        <x:f>IF(OR(I408="",P408=""),"",343.2^2/(2*PI())*SQRT(I408/P408))</x:f>
        <x:v>1995.2727147812213</x:v>
      </x:c>
      <x:c r="R408" s="58"/>
      <x:c r="S408" s="62" t="n">
        <x:v>1</x:v>
      </x:c>
      <x:c r="T408" s="46" t="str">
        <x:v>20 °C / kuru nominal</x:v>
      </x:c>
      <x:c r="U408" s="46" t="str">
        <x:v>DÜŞÜK-ORTA</x:v>
      </x:c>
      <x:c r="V408" s="46" t="str"/>
      <x:c r="W408" s="50" t="str">
        <x:v>Ortogonal/katmanlı ürünlerde tek izotropik E yaklaşımı sınırlıdır; yön bağımlılığı ve bağlantılar ayrıca modellenmelidir.</x:v>
      </x:c>
    </x:row>
    <x:row r="409">
      <x:c r="A409" s="46" t="str">
        <x:v>WL-GLASS-8</x:v>
      </x:c>
      <x:c r="B409" s="46" t="str">
        <x:v>Diğer rijit duvar katmanı</x:v>
      </x:c>
      <x:c r="C409" s="46" t="str">
        <x:v>Soda-kireç düz cam</x:v>
      </x:c>
      <x:c r="D409" s="46" t="str">
        <x:v>GENERIC</x:v>
      </x:c>
      <x:c r="E409" s="46" t="str">
        <x:v>GLASS</x:v>
      </x:c>
      <x:c r="F409" s="70" t="str">
        <x:v>ENGINEERING_DEFAULT</x:v>
      </x:c>
      <x:c r="G409" s="54" t="n">
        <x:v>8</x:v>
      </x:c>
      <x:c r="H409" s="54" t="n">
        <x:v>2500</x:v>
      </x:c>
      <x:c r="I409" s="74" t="n">
        <x:f>IF(OR(G409="",H409=""),"",G409/1000*H409)</x:f>
        <x:v>20</x:v>
      </x:c>
      <x:c r="J409" s="75" t="n">
        <x:v>70</x:v>
      </x:c>
      <x:c r="K409" s="75" t="n">
        <x:v>0.22</x:v>
      </x:c>
      <x:c r="L409" s="75" t="n">
        <x:v>0.001</x:v>
      </x:c>
      <x:c r="M409" s="75" t="n">
        <x:f>IF(OR(J409="",K409=""),"",J409/(2*(1+K409)))</x:f>
        <x:v>28.688524590163937</x:v>
      </x:c>
      <x:c r="N409" s="76" t="n">
        <x:f>IF(OR(J409="",H409="",K409=""),"",SQRT(J409*1000000000*(1-K409)/(H409*(1+K409)*(1-2*K409))))</x:f>
        <x:v>5653.9555281903395</x:v>
      </x:c>
      <x:c r="O409" s="75" t="n">
        <x:f>IF(OR(H409="",N409=""),"",H409*N409/1000000)</x:f>
        <x:v>14.13488882047585</x:v>
      </x:c>
      <x:c r="P409" s="74" t="n">
        <x:f>IF(OR(J409="",G409="",K409=""),"",J409*1000000000*(G409/1000)^3/(12*(1-K409^2)))</x:f>
        <x:v>3138.573630376909</x:v>
      </x:c>
      <x:c r="Q409" s="76" t="n">
        <x:f>IF(OR(I409="",P409=""),"",343.2^2/(2*PI())*SQRT(I409/P409))</x:f>
        <x:v>1496.4545360859158</x:v>
      </x:c>
      <x:c r="R409" s="58"/>
      <x:c r="S409" s="62" t="n">
        <x:v>1</x:v>
      </x:c>
      <x:c r="T409" s="46" t="str">
        <x:v>20 °C / kuru nominal</x:v>
      </x:c>
      <x:c r="U409" s="46" t="str">
        <x:v>DÜŞÜK-ORTA</x:v>
      </x:c>
      <x:c r="V409" s="46" t="str"/>
      <x:c r="W409" s="50" t="str">
        <x:v>Ortogonal/katmanlı ürünlerde tek izotropik E yaklaşımı sınırlıdır; yön bağımlılığı ve bağlantılar ayrıca modellenmelidir.</x:v>
      </x:c>
    </x:row>
    <x:row r="410">
      <x:c r="A410" s="46" t="str">
        <x:v>WL-GLASS-10</x:v>
      </x:c>
      <x:c r="B410" s="46" t="str">
        <x:v>Diğer rijit duvar katmanı</x:v>
      </x:c>
      <x:c r="C410" s="46" t="str">
        <x:v>Soda-kireç düz cam</x:v>
      </x:c>
      <x:c r="D410" s="46" t="str">
        <x:v>GENERIC</x:v>
      </x:c>
      <x:c r="E410" s="46" t="str">
        <x:v>GLASS</x:v>
      </x:c>
      <x:c r="F410" s="70" t="str">
        <x:v>ENGINEERING_DEFAULT</x:v>
      </x:c>
      <x:c r="G410" s="54" t="n">
        <x:v>10</x:v>
      </x:c>
      <x:c r="H410" s="54" t="n">
        <x:v>2500</x:v>
      </x:c>
      <x:c r="I410" s="74" t="n">
        <x:f>IF(OR(G410="",H410=""),"",G410/1000*H410)</x:f>
        <x:v>25</x:v>
      </x:c>
      <x:c r="J410" s="75" t="n">
        <x:v>70</x:v>
      </x:c>
      <x:c r="K410" s="75" t="n">
        <x:v>0.22</x:v>
      </x:c>
      <x:c r="L410" s="75" t="n">
        <x:v>0.001</x:v>
      </x:c>
      <x:c r="M410" s="75" t="n">
        <x:f>IF(OR(J410="",K410=""),"",J410/(2*(1+K410)))</x:f>
        <x:v>28.688524590163937</x:v>
      </x:c>
      <x:c r="N410" s="76" t="n">
        <x:f>IF(OR(J410="",H410="",K410=""),"",SQRT(J410*1000000000*(1-K410)/(H410*(1+K410)*(1-2*K410))))</x:f>
        <x:v>5653.9555281903395</x:v>
      </x:c>
      <x:c r="O410" s="75" t="n">
        <x:f>IF(OR(H410="",N410=""),"",H410*N410/1000000)</x:f>
        <x:v>14.13488882047585</x:v>
      </x:c>
      <x:c r="P410" s="74" t="n">
        <x:f>IF(OR(J410="",G410="",K410=""),"",J410*1000000000*(G410/1000)^3/(12*(1-K410^2)))</x:f>
        <x:v>6130.026621829902</x:v>
      </x:c>
      <x:c r="Q410" s="76" t="n">
        <x:f>IF(OR(I410="",P410=""),"",343.2^2/(2*PI())*SQRT(I410/P410))</x:f>
        <x:v>1197.1636288687325</x:v>
      </x:c>
      <x:c r="R410" s="58"/>
      <x:c r="S410" s="62" t="n">
        <x:v>1</x:v>
      </x:c>
      <x:c r="T410" s="46" t="str">
        <x:v>20 °C / kuru nominal</x:v>
      </x:c>
      <x:c r="U410" s="46" t="str">
        <x:v>DÜŞÜK-ORTA</x:v>
      </x:c>
      <x:c r="V410" s="46" t="str"/>
      <x:c r="W410" s="50" t="str">
        <x:v>Ortogonal/katmanlı ürünlerde tek izotropik E yaklaşımı sınırlıdır; yön bağımlılığı ve bağlantılar ayrıca modellenmelidir.</x:v>
      </x:c>
    </x:row>
    <x:row r="411">
      <x:c r="A411" s="46" t="str">
        <x:v>WL-GLASS-12</x:v>
      </x:c>
      <x:c r="B411" s="46" t="str">
        <x:v>Diğer rijit duvar katmanı</x:v>
      </x:c>
      <x:c r="C411" s="46" t="str">
        <x:v>Soda-kireç düz cam</x:v>
      </x:c>
      <x:c r="D411" s="46" t="str">
        <x:v>GENERIC</x:v>
      </x:c>
      <x:c r="E411" s="46" t="str">
        <x:v>GLASS</x:v>
      </x:c>
      <x:c r="F411" s="70" t="str">
        <x:v>ENGINEERING_DEFAULT</x:v>
      </x:c>
      <x:c r="G411" s="54" t="n">
        <x:v>12</x:v>
      </x:c>
      <x:c r="H411" s="54" t="n">
        <x:v>2500</x:v>
      </x:c>
      <x:c r="I411" s="74" t="n">
        <x:f>IF(OR(G411="",H411=""),"",G411/1000*H411)</x:f>
        <x:v>30</x:v>
      </x:c>
      <x:c r="J411" s="75" t="n">
        <x:v>70</x:v>
      </x:c>
      <x:c r="K411" s="75" t="n">
        <x:v>0.22</x:v>
      </x:c>
      <x:c r="L411" s="75" t="n">
        <x:v>0.001</x:v>
      </x:c>
      <x:c r="M411" s="75" t="n">
        <x:f>IF(OR(J411="",K411=""),"",J411/(2*(1+K411)))</x:f>
        <x:v>28.688524590163937</x:v>
      </x:c>
      <x:c r="N411" s="76" t="n">
        <x:f>IF(OR(J411="",H411="",K411=""),"",SQRT(J411*1000000000*(1-K411)/(H411*(1+K411)*(1-2*K411))))</x:f>
        <x:v>5653.9555281903395</x:v>
      </x:c>
      <x:c r="O411" s="75" t="n">
        <x:f>IF(OR(H411="",N411=""),"",H411*N411/1000000)</x:f>
        <x:v>14.13488882047585</x:v>
      </x:c>
      <x:c r="P411" s="74" t="n">
        <x:f>IF(OR(J411="",G411="",K411=""),"",J411*1000000000*(G411/1000)^3/(12*(1-K411^2)))</x:f>
        <x:v>10592.686002522069</x:v>
      </x:c>
      <x:c r="Q411" s="76" t="n">
        <x:f>IF(OR(I411="",P411=""),"",343.2^2/(2*PI())*SQRT(I411/P411))</x:f>
        <x:v>997.6363573906107</x:v>
      </x:c>
      <x:c r="R411" s="58"/>
      <x:c r="S411" s="62" t="n">
        <x:v>1</x:v>
      </x:c>
      <x:c r="T411" s="46" t="str">
        <x:v>20 °C / kuru nominal</x:v>
      </x:c>
      <x:c r="U411" s="46" t="str">
        <x:v>DÜŞÜK-ORTA</x:v>
      </x:c>
      <x:c r="V411" s="46" t="str"/>
      <x:c r="W411" s="50" t="str">
        <x:v>Ortogonal/katmanlı ürünlerde tek izotropik E yaklaşımı sınırlıdır; yön bağımlılığı ve bağlantılar ayrıca modellenmelidir.</x:v>
      </x:c>
    </x:row>
    <x:row r="412">
      <x:c r="A412" s="46" t="str">
        <x:v>WL-GLASS-15</x:v>
      </x:c>
      <x:c r="B412" s="46" t="str">
        <x:v>Diğer rijit duvar katmanı</x:v>
      </x:c>
      <x:c r="C412" s="46" t="str">
        <x:v>Soda-kireç düz cam</x:v>
      </x:c>
      <x:c r="D412" s="46" t="str">
        <x:v>GENERIC</x:v>
      </x:c>
      <x:c r="E412" s="46" t="str">
        <x:v>GLASS</x:v>
      </x:c>
      <x:c r="F412" s="70" t="str">
        <x:v>ENGINEERING_DEFAULT</x:v>
      </x:c>
      <x:c r="G412" s="54" t="n">
        <x:v>15</x:v>
      </x:c>
      <x:c r="H412" s="54" t="n">
        <x:v>2500</x:v>
      </x:c>
      <x:c r="I412" s="74" t="n">
        <x:f>IF(OR(G412="",H412=""),"",G412/1000*H412)</x:f>
        <x:v>37.5</x:v>
      </x:c>
      <x:c r="J412" s="75" t="n">
        <x:v>70</x:v>
      </x:c>
      <x:c r="K412" s="75" t="n">
        <x:v>0.22</x:v>
      </x:c>
      <x:c r="L412" s="75" t="n">
        <x:v>0.001</x:v>
      </x:c>
      <x:c r="M412" s="75" t="n">
        <x:f>IF(OR(J412="",K412=""),"",J412/(2*(1+K412)))</x:f>
        <x:v>28.688524590163937</x:v>
      </x:c>
      <x:c r="N412" s="76" t="n">
        <x:f>IF(OR(J412="",H412="",K412=""),"",SQRT(J412*1000000000*(1-K412)/(H412*(1+K412)*(1-2*K412))))</x:f>
        <x:v>5653.9555281903395</x:v>
      </x:c>
      <x:c r="O412" s="75" t="n">
        <x:f>IF(OR(H412="",N412=""),"",H412*N412/1000000)</x:f>
        <x:v>14.13488882047585</x:v>
      </x:c>
      <x:c r="P412" s="74" t="n">
        <x:f>IF(OR(J412="",G412="",K412=""),"",J412*1000000000*(G412/1000)^3/(12*(1-K412^2)))</x:f>
        <x:v>20688.839848675914</x:v>
      </x:c>
      <x:c r="Q412" s="76" t="n">
        <x:f>IF(OR(I412="",P412=""),"",343.2^2/(2*PI())*SQRT(I412/P412))</x:f>
        <x:v>798.1090859124886</x:v>
      </x:c>
      <x:c r="R412" s="58"/>
      <x:c r="S412" s="62" t="n">
        <x:v>1</x:v>
      </x:c>
      <x:c r="T412" s="46" t="str">
        <x:v>20 °C / kuru nominal</x:v>
      </x:c>
      <x:c r="U412" s="46" t="str">
        <x:v>DÜŞÜK-ORTA</x:v>
      </x:c>
      <x:c r="V412" s="46" t="str"/>
      <x:c r="W412" s="50" t="str">
        <x:v>Ortogonal/katmanlı ürünlerde tek izotropik E yaklaşımı sınırlıdır; yön bağımlılığı ve bağlantılar ayrıca modellenmelidir.</x:v>
      </x:c>
    </x:row>
    <x:row r="413">
      <x:c r="A413" s="46" t="str">
        <x:v>WL-GLASS-19</x:v>
      </x:c>
      <x:c r="B413" s="46" t="str">
        <x:v>Diğer rijit duvar katmanı</x:v>
      </x:c>
      <x:c r="C413" s="46" t="str">
        <x:v>Soda-kireç düz cam</x:v>
      </x:c>
      <x:c r="D413" s="46" t="str">
        <x:v>GENERIC</x:v>
      </x:c>
      <x:c r="E413" s="46" t="str">
        <x:v>GLASS</x:v>
      </x:c>
      <x:c r="F413" s="70" t="str">
        <x:v>ENGINEERING_DEFAULT</x:v>
      </x:c>
      <x:c r="G413" s="54" t="n">
        <x:v>19</x:v>
      </x:c>
      <x:c r="H413" s="54" t="n">
        <x:v>2500</x:v>
      </x:c>
      <x:c r="I413" s="74" t="n">
        <x:f>IF(OR(G413="",H413=""),"",G413/1000*H413)</x:f>
        <x:v>47.5</x:v>
      </x:c>
      <x:c r="J413" s="75" t="n">
        <x:v>70</x:v>
      </x:c>
      <x:c r="K413" s="75" t="n">
        <x:v>0.22</x:v>
      </x:c>
      <x:c r="L413" s="75" t="n">
        <x:v>0.001</x:v>
      </x:c>
      <x:c r="M413" s="75" t="n">
        <x:f>IF(OR(J413="",K413=""),"",J413/(2*(1+K413)))</x:f>
        <x:v>28.688524590163937</x:v>
      </x:c>
      <x:c r="N413" s="76" t="n">
        <x:f>IF(OR(J413="",H413="",K413=""),"",SQRT(J413*1000000000*(1-K413)/(H413*(1+K413)*(1-2*K413))))</x:f>
        <x:v>5653.9555281903395</x:v>
      </x:c>
      <x:c r="O413" s="75" t="n">
        <x:f>IF(OR(H413="",N413=""),"",H413*N413/1000000)</x:f>
        <x:v>14.13488882047585</x:v>
      </x:c>
      <x:c r="P413" s="74" t="n">
        <x:f>IF(OR(J413="",G413="",K413=""),"",J413*1000000000*(G413/1000)^3/(12*(1-K413^2)))</x:f>
        <x:v>42045.852599131285</x:v>
      </x:c>
      <x:c r="Q413" s="76" t="n">
        <x:f>IF(OR(I413="",P413=""),"",343.2^2/(2*PI())*SQRT(I413/P413))</x:f>
        <x:v>630.0861204572278</x:v>
      </x:c>
      <x:c r="R413" s="58"/>
      <x:c r="S413" s="62" t="n">
        <x:v>1</x:v>
      </x:c>
      <x:c r="T413" s="46" t="str">
        <x:v>20 °C / kuru nominal</x:v>
      </x:c>
      <x:c r="U413" s="46" t="str">
        <x:v>DÜŞÜK-ORTA</x:v>
      </x:c>
      <x:c r="V413" s="46" t="str"/>
      <x:c r="W413" s="50" t="str">
        <x:v>Ortogonal/katmanlı ürünlerde tek izotropik E yaklaşımı sınırlıdır; yön bağımlılığı ve bağlantılar ayrıca modellenmelidir.</x:v>
      </x:c>
    </x:row>
    <x:row r="414">
      <x:c r="A414" s="46" t="str">
        <x:v>WL-HOLLOW-BRICK-800-85</x:v>
      </x:c>
      <x:c r="B414" s="46" t="str">
        <x:v>Diğer rijit duvar katmanı</x:v>
      </x:c>
      <x:c r="C414" s="46" t="str">
        <x:v>Yatay/düşey delikli kil tuğla – hafif</x:v>
      </x:c>
      <x:c r="D414" s="46" t="str">
        <x:v>GENERIC</x:v>
      </x:c>
      <x:c r="E414" s="46" t="str">
        <x:v>HOLLOW-BRICK-800</x:v>
      </x:c>
      <x:c r="F414" s="70" t="str">
        <x:v>ENGINEERING_DEFAULT</x:v>
      </x:c>
      <x:c r="G414" s="54" t="n">
        <x:v>85</x:v>
      </x:c>
      <x:c r="H414" s="54" t="n">
        <x:v>800</x:v>
      </x:c>
      <x:c r="I414" s="74" t="n">
        <x:f>IF(OR(G414="",H414=""),"",G414/1000*H414)</x:f>
        <x:v>68</x:v>
      </x:c>
      <x:c r="J414" s="75" t="n">
        <x:v>3</x:v>
      </x:c>
      <x:c r="K414" s="75" t="n">
        <x:v>0.2</x:v>
      </x:c>
      <x:c r="L414" s="75" t="n">
        <x:v>0.025</x:v>
      </x:c>
      <x:c r="M414" s="75" t="n">
        <x:f>IF(OR(J414="",K414=""),"",J414/(2*(1+K414)))</x:f>
        <x:v>1.25</x:v>
      </x:c>
      <x:c r="N414" s="76" t="n">
        <x:f>IF(OR(J414="",H414="",K414=""),"",SQRT(J414*1000000000*(1-K414)/(H414*(1+K414)*(1-2*K414))))</x:f>
        <x:v>2041.241452319315</x:v>
      </x:c>
      <x:c r="O414" s="75" t="n">
        <x:f>IF(OR(H414="",N414=""),"",H414*N414/1000000)</x:f>
        <x:v>1.632993161855452</x:v>
      </x:c>
      <x:c r="P414" s="74" t="n">
        <x:f>IF(OR(J414="",G414="",K414=""),"",J414*1000000000*(G414/1000)^3/(12*(1-K414^2)))</x:f>
        <x:v>159928.38541666674</x:v>
      </x:c>
      <x:c r="Q414" s="76" t="n">
        <x:f>IF(OR(I414="",P414=""),"",343.2^2/(2*PI())*SQRT(I414/P414))</x:f>
        <x:v>386.5506162401175</x:v>
      </x:c>
      <x:c r="R414" s="58"/>
      <x:c r="S414" s="62" t="n">
        <x:v>0.3</x:v>
      </x:c>
      <x:c r="T414" s="46" t="str">
        <x:v>20 °C / kuru nominal</x:v>
      </x:c>
      <x:c r="U414" s="46" t="str">
        <x:v>DÜŞÜK-ORTA</x:v>
      </x:c>
      <x:c r="V414" s="46" t="str"/>
      <x:c r="W414" s="50" t="str">
        <x:v>Ortogonal/katmanlı ürünlerde tek izotropik E yaklaşımı sınırlıdır; yön bağımlılığı ve bağlantılar ayrıca modellenmelidir.</x:v>
      </x:c>
    </x:row>
    <x:row r="415">
      <x:c r="A415" s="46" t="str">
        <x:v>WL-HOLLOW-BRICK-800-100</x:v>
      </x:c>
      <x:c r="B415" s="46" t="str">
        <x:v>Diğer rijit duvar katmanı</x:v>
      </x:c>
      <x:c r="C415" s="46" t="str">
        <x:v>Yatay/düşey delikli kil tuğla – hafif</x:v>
      </x:c>
      <x:c r="D415" s="46" t="str">
        <x:v>GENERIC</x:v>
      </x:c>
      <x:c r="E415" s="46" t="str">
        <x:v>HOLLOW-BRICK-800</x:v>
      </x:c>
      <x:c r="F415" s="70" t="str">
        <x:v>ENGINEERING_DEFAULT</x:v>
      </x:c>
      <x:c r="G415" s="54" t="n">
        <x:v>100</x:v>
      </x:c>
      <x:c r="H415" s="54" t="n">
        <x:v>800</x:v>
      </x:c>
      <x:c r="I415" s="74" t="n">
        <x:f>IF(OR(G415="",H415=""),"",G415/1000*H415)</x:f>
        <x:v>80</x:v>
      </x:c>
      <x:c r="J415" s="75" t="n">
        <x:v>3</x:v>
      </x:c>
      <x:c r="K415" s="75" t="n">
        <x:v>0.2</x:v>
      </x:c>
      <x:c r="L415" s="75" t="n">
        <x:v>0.025</x:v>
      </x:c>
      <x:c r="M415" s="75" t="n">
        <x:f>IF(OR(J415="",K415=""),"",J415/(2*(1+K415)))</x:f>
        <x:v>1.25</x:v>
      </x:c>
      <x:c r="N415" s="76" t="n">
        <x:f>IF(OR(J415="",H415="",K415=""),"",SQRT(J415*1000000000*(1-K415)/(H415*(1+K415)*(1-2*K415))))</x:f>
        <x:v>2041.241452319315</x:v>
      </x:c>
      <x:c r="O415" s="75" t="n">
        <x:f>IF(OR(H415="",N415=""),"",H415*N415/1000000)</x:f>
        <x:v>1.632993161855452</x:v>
      </x:c>
      <x:c r="P415" s="74" t="n">
        <x:f>IF(OR(J415="",G415="",K415=""),"",J415*1000000000*(G415/1000)^3/(12*(1-K415^2)))</x:f>
        <x:v>260416.66666666674</x:v>
      </x:c>
      <x:c r="Q415" s="76" t="n">
        <x:f>IF(OR(I415="",P415=""),"",343.2^2/(2*PI())*SQRT(I415/P415))</x:f>
        <x:v>328.5680238040999</x:v>
      </x:c>
      <x:c r="R415" s="58"/>
      <x:c r="S415" s="62" t="n">
        <x:v>0.3</x:v>
      </x:c>
      <x:c r="T415" s="46" t="str">
        <x:v>20 °C / kuru nominal</x:v>
      </x:c>
      <x:c r="U415" s="46" t="str">
        <x:v>DÜŞÜK-ORTA</x:v>
      </x:c>
      <x:c r="V415" s="46" t="str"/>
      <x:c r="W415" s="50" t="str">
        <x:v>Ortogonal/katmanlı ürünlerde tek izotropik E yaklaşımı sınırlıdır; yön bağımlılığı ve bağlantılar ayrıca modellenmelidir.</x:v>
      </x:c>
    </x:row>
    <x:row r="416">
      <x:c r="A416" s="46" t="str">
        <x:v>WL-HOLLOW-BRICK-800-135</x:v>
      </x:c>
      <x:c r="B416" s="46" t="str">
        <x:v>Diğer rijit duvar katmanı</x:v>
      </x:c>
      <x:c r="C416" s="46" t="str">
        <x:v>Yatay/düşey delikli kil tuğla – hafif</x:v>
      </x:c>
      <x:c r="D416" s="46" t="str">
        <x:v>GENERIC</x:v>
      </x:c>
      <x:c r="E416" s="46" t="str">
        <x:v>HOLLOW-BRICK-800</x:v>
      </x:c>
      <x:c r="F416" s="70" t="str">
        <x:v>ENGINEERING_DEFAULT</x:v>
      </x:c>
      <x:c r="G416" s="54" t="n">
        <x:v>135</x:v>
      </x:c>
      <x:c r="H416" s="54" t="n">
        <x:v>800</x:v>
      </x:c>
      <x:c r="I416" s="74" t="n">
        <x:f>IF(OR(G416="",H416=""),"",G416/1000*H416)</x:f>
        <x:v>108</x:v>
      </x:c>
      <x:c r="J416" s="75" t="n">
        <x:v>3</x:v>
      </x:c>
      <x:c r="K416" s="75" t="n">
        <x:v>0.2</x:v>
      </x:c>
      <x:c r="L416" s="75" t="n">
        <x:v>0.025</x:v>
      </x:c>
      <x:c r="M416" s="75" t="n">
        <x:f>IF(OR(J416="",K416=""),"",J416/(2*(1+K416)))</x:f>
        <x:v>1.25</x:v>
      </x:c>
      <x:c r="N416" s="76" t="n">
        <x:f>IF(OR(J416="",H416="",K416=""),"",SQRT(J416*1000000000*(1-K416)/(H416*(1+K416)*(1-2*K416))))</x:f>
        <x:v>2041.241452319315</x:v>
      </x:c>
      <x:c r="O416" s="75" t="n">
        <x:f>IF(OR(H416="",N416=""),"",H416*N416/1000000)</x:f>
        <x:v>1.632993161855452</x:v>
      </x:c>
      <x:c r="P416" s="74" t="n">
        <x:f>IF(OR(J416="",G416="",K416=""),"",J416*1000000000*(G416/1000)^3/(12*(1-K416^2)))</x:f>
        <x:v>640722.6562500001</x:v>
      </x:c>
      <x:c r="Q416" s="76" t="n">
        <x:f>IF(OR(I416="",P416=""),"",343.2^2/(2*PI())*SQRT(I416/P416))</x:f>
        <x:v>243.38372133637031</x:v>
      </x:c>
      <x:c r="R416" s="58"/>
      <x:c r="S416" s="62" t="n">
        <x:v>0.3</x:v>
      </x:c>
      <x:c r="T416" s="46" t="str">
        <x:v>20 °C / kuru nominal</x:v>
      </x:c>
      <x:c r="U416" s="46" t="str">
        <x:v>DÜŞÜK-ORTA</x:v>
      </x:c>
      <x:c r="V416" s="46" t="str"/>
      <x:c r="W416" s="50" t="str">
        <x:v>Ortogonal/katmanlı ürünlerde tek izotropik E yaklaşımı sınırlıdır; yön bağımlılığı ve bağlantılar ayrıca modellenmelidir.</x:v>
      </x:c>
    </x:row>
    <x:row r="417">
      <x:c r="A417" s="46" t="str">
        <x:v>WL-HOLLOW-BRICK-800-190</x:v>
      </x:c>
      <x:c r="B417" s="46" t="str">
        <x:v>Diğer rijit duvar katmanı</x:v>
      </x:c>
      <x:c r="C417" s="46" t="str">
        <x:v>Yatay/düşey delikli kil tuğla – hafif</x:v>
      </x:c>
      <x:c r="D417" s="46" t="str">
        <x:v>GENERIC</x:v>
      </x:c>
      <x:c r="E417" s="46" t="str">
        <x:v>HOLLOW-BRICK-800</x:v>
      </x:c>
      <x:c r="F417" s="70" t="str">
        <x:v>ENGINEERING_DEFAULT</x:v>
      </x:c>
      <x:c r="G417" s="54" t="n">
        <x:v>190</x:v>
      </x:c>
      <x:c r="H417" s="54" t="n">
        <x:v>800</x:v>
      </x:c>
      <x:c r="I417" s="74" t="n">
        <x:f>IF(OR(G417="",H417=""),"",G417/1000*H417)</x:f>
        <x:v>152</x:v>
      </x:c>
      <x:c r="J417" s="75" t="n">
        <x:v>3</x:v>
      </x:c>
      <x:c r="K417" s="75" t="n">
        <x:v>0.2</x:v>
      </x:c>
      <x:c r="L417" s="75" t="n">
        <x:v>0.025</x:v>
      </x:c>
      <x:c r="M417" s="75" t="n">
        <x:f>IF(OR(J417="",K417=""),"",J417/(2*(1+K417)))</x:f>
        <x:v>1.25</x:v>
      </x:c>
      <x:c r="N417" s="76" t="n">
        <x:f>IF(OR(J417="",H417="",K417=""),"",SQRT(J417*1000000000*(1-K417)/(H417*(1+K417)*(1-2*K417))))</x:f>
        <x:v>2041.241452319315</x:v>
      </x:c>
      <x:c r="O417" s="75" t="n">
        <x:f>IF(OR(H417="",N417=""),"",H417*N417/1000000)</x:f>
        <x:v>1.632993161855452</x:v>
      </x:c>
      <x:c r="P417" s="74" t="n">
        <x:f>IF(OR(J417="",G417="",K417=""),"",J417*1000000000*(G417/1000)^3/(12*(1-K417^2)))</x:f>
        <x:v>1786197.9166666667</x:v>
      </x:c>
      <x:c r="Q417" s="76" t="n">
        <x:f>IF(OR(I417="",P417=""),"",343.2^2/(2*PI())*SQRT(I417/P417))</x:f>
        <x:v>172.9305388442631</x:v>
      </x:c>
      <x:c r="R417" s="58"/>
      <x:c r="S417" s="62" t="n">
        <x:v>0.3</x:v>
      </x:c>
      <x:c r="T417" s="46" t="str">
        <x:v>20 °C / kuru nominal</x:v>
      </x:c>
      <x:c r="U417" s="46" t="str">
        <x:v>DÜŞÜK-ORTA</x:v>
      </x:c>
      <x:c r="V417" s="46" t="str"/>
      <x:c r="W417" s="50" t="str">
        <x:v>Ortogonal/katmanlı ürünlerde tek izotropik E yaklaşımı sınırlıdır; yön bağımlılığı ve bağlantılar ayrıca modellenmelidir.</x:v>
      </x:c>
    </x:row>
    <x:row r="418">
      <x:c r="A418" s="46" t="str">
        <x:v>WL-HOLLOW-BRICK-800-240</x:v>
      </x:c>
      <x:c r="B418" s="46" t="str">
        <x:v>Diğer rijit duvar katmanı</x:v>
      </x:c>
      <x:c r="C418" s="46" t="str">
        <x:v>Yatay/düşey delikli kil tuğla – hafif</x:v>
      </x:c>
      <x:c r="D418" s="46" t="str">
        <x:v>GENERIC</x:v>
      </x:c>
      <x:c r="E418" s="46" t="str">
        <x:v>HOLLOW-BRICK-800</x:v>
      </x:c>
      <x:c r="F418" s="70" t="str">
        <x:v>ENGINEERING_DEFAULT</x:v>
      </x:c>
      <x:c r="G418" s="54" t="n">
        <x:v>240</x:v>
      </x:c>
      <x:c r="H418" s="54" t="n">
        <x:v>800</x:v>
      </x:c>
      <x:c r="I418" s="74" t="n">
        <x:f>IF(OR(G418="",H418=""),"",G418/1000*H418)</x:f>
        <x:v>192</x:v>
      </x:c>
      <x:c r="J418" s="75" t="n">
        <x:v>3</x:v>
      </x:c>
      <x:c r="K418" s="75" t="n">
        <x:v>0.2</x:v>
      </x:c>
      <x:c r="L418" s="75" t="n">
        <x:v>0.025</x:v>
      </x:c>
      <x:c r="M418" s="75" t="n">
        <x:f>IF(OR(J418="",K418=""),"",J418/(2*(1+K418)))</x:f>
        <x:v>1.25</x:v>
      </x:c>
      <x:c r="N418" s="76" t="n">
        <x:f>IF(OR(J418="",H418="",K418=""),"",SQRT(J418*1000000000*(1-K418)/(H418*(1+K418)*(1-2*K418))))</x:f>
        <x:v>2041.241452319315</x:v>
      </x:c>
      <x:c r="O418" s="75" t="n">
        <x:f>IF(OR(H418="",N418=""),"",H418*N418/1000000)</x:f>
        <x:v>1.632993161855452</x:v>
      </x:c>
      <x:c r="P418" s="74" t="n">
        <x:f>IF(OR(J418="",G418="",K418=""),"",J418*1000000000*(G418/1000)^3/(12*(1-K418^2)))</x:f>
        <x:v>3600000</x:v>
      </x:c>
      <x:c r="Q418" s="76" t="n">
        <x:f>IF(OR(I418="",P418=""),"",343.2^2/(2*PI())*SQRT(I418/P418))</x:f>
        <x:v>136.9033432517083</x:v>
      </x:c>
      <x:c r="R418" s="58"/>
      <x:c r="S418" s="62" t="n">
        <x:v>0.3</x:v>
      </x:c>
      <x:c r="T418" s="46" t="str">
        <x:v>20 °C / kuru nominal</x:v>
      </x:c>
      <x:c r="U418" s="46" t="str">
        <x:v>DÜŞÜK-ORTA</x:v>
      </x:c>
      <x:c r="V418" s="46" t="str"/>
      <x:c r="W418" s="50" t="str">
        <x:v>Ortogonal/katmanlı ürünlerde tek izotropik E yaklaşımı sınırlıdır; yön bağımlılığı ve bağlantılar ayrıca modellenmelidir.</x:v>
      </x:c>
    </x:row>
    <x:row r="419">
      <x:c r="A419" s="46" t="str">
        <x:v>WL-HOLLOW-BRICK-1000-85</x:v>
      </x:c>
      <x:c r="B419" s="46" t="str">
        <x:v>Diğer rijit duvar katmanı</x:v>
      </x:c>
      <x:c r="C419" s="46" t="str">
        <x:v>Delikli kil tuğla – orta</x:v>
      </x:c>
      <x:c r="D419" s="46" t="str">
        <x:v>GENERIC</x:v>
      </x:c>
      <x:c r="E419" s="46" t="str">
        <x:v>HOLLOW-BRICK-1000</x:v>
      </x:c>
      <x:c r="F419" s="70" t="str">
        <x:v>ENGINEERING_DEFAULT</x:v>
      </x:c>
      <x:c r="G419" s="54" t="n">
        <x:v>85</x:v>
      </x:c>
      <x:c r="H419" s="54" t="n">
        <x:v>1000</x:v>
      </x:c>
      <x:c r="I419" s="74" t="n">
        <x:f>IF(OR(G419="",H419=""),"",G419/1000*H419)</x:f>
        <x:v>85</x:v>
      </x:c>
      <x:c r="J419" s="75" t="n">
        <x:v>5</x:v>
      </x:c>
      <x:c r="K419" s="75" t="n">
        <x:v>0.2</x:v>
      </x:c>
      <x:c r="L419" s="75" t="n">
        <x:v>0.022</x:v>
      </x:c>
      <x:c r="M419" s="75" t="n">
        <x:f>IF(OR(J419="",K419=""),"",J419/(2*(1+K419)))</x:f>
        <x:v>2.0833333333333335</x:v>
      </x:c>
      <x:c r="N419" s="76" t="n">
        <x:f>IF(OR(J419="",H419="",K419=""),"",SQRT(J419*1000000000*(1-K419)/(H419*(1+K419)*(1-2*K419))))</x:f>
        <x:v>2357.0226039551585</x:v>
      </x:c>
      <x:c r="O419" s="75" t="n">
        <x:f>IF(OR(H419="",N419=""),"",H419*N419/1000000)</x:f>
        <x:v>2.3570226039551585</x:v>
      </x:c>
      <x:c r="P419" s="74" t="n">
        <x:f>IF(OR(J419="",G419="",K419=""),"",J419*1000000000*(G419/1000)^3/(12*(1-K419^2)))</x:f>
        <x:v>266547.30902777787</x:v>
      </x:c>
      <x:c r="Q419" s="76" t="n">
        <x:f>IF(OR(I419="",P419=""),"",343.2^2/(2*PI())*SQRT(I419/P419))</x:f>
        <x:v>334.76265351247133</x:v>
      </x:c>
      <x:c r="R419" s="58"/>
      <x:c r="S419" s="62" t="n">
        <x:v>0.4</x:v>
      </x:c>
      <x:c r="T419" s="46" t="str">
        <x:v>20 °C / kuru nominal</x:v>
      </x:c>
      <x:c r="U419" s="46" t="str">
        <x:v>DÜŞÜK-ORTA</x:v>
      </x:c>
      <x:c r="V419" s="46" t="str"/>
      <x:c r="W419" s="50" t="str">
        <x:v>Ortogonal/katmanlı ürünlerde tek izotropik E yaklaşımı sınırlıdır; yön bağımlılığı ve bağlantılar ayrıca modellenmelidir.</x:v>
      </x:c>
    </x:row>
    <x:row r="420">
      <x:c r="A420" s="46" t="str">
        <x:v>WL-HOLLOW-BRICK-1000-100</x:v>
      </x:c>
      <x:c r="B420" s="46" t="str">
        <x:v>Diğer rijit duvar katmanı</x:v>
      </x:c>
      <x:c r="C420" s="46" t="str">
        <x:v>Delikli kil tuğla – orta</x:v>
      </x:c>
      <x:c r="D420" s="46" t="str">
        <x:v>GENERIC</x:v>
      </x:c>
      <x:c r="E420" s="46" t="str">
        <x:v>HOLLOW-BRICK-1000</x:v>
      </x:c>
      <x:c r="F420" s="70" t="str">
        <x:v>ENGINEERING_DEFAULT</x:v>
      </x:c>
      <x:c r="G420" s="54" t="n">
        <x:v>100</x:v>
      </x:c>
      <x:c r="H420" s="54" t="n">
        <x:v>1000</x:v>
      </x:c>
      <x:c r="I420" s="74" t="n">
        <x:f>IF(OR(G420="",H420=""),"",G420/1000*H420)</x:f>
        <x:v>100</x:v>
      </x:c>
      <x:c r="J420" s="75" t="n">
        <x:v>5</x:v>
      </x:c>
      <x:c r="K420" s="75" t="n">
        <x:v>0.2</x:v>
      </x:c>
      <x:c r="L420" s="75" t="n">
        <x:v>0.022</x:v>
      </x:c>
      <x:c r="M420" s="75" t="n">
        <x:f>IF(OR(J420="",K420=""),"",J420/(2*(1+K420)))</x:f>
        <x:v>2.0833333333333335</x:v>
      </x:c>
      <x:c r="N420" s="76" t="n">
        <x:f>IF(OR(J420="",H420="",K420=""),"",SQRT(J420*1000000000*(1-K420)/(H420*(1+K420)*(1-2*K420))))</x:f>
        <x:v>2357.0226039551585</x:v>
      </x:c>
      <x:c r="O420" s="75" t="n">
        <x:f>IF(OR(H420="",N420=""),"",H420*N420/1000000)</x:f>
        <x:v>2.3570226039551585</x:v>
      </x:c>
      <x:c r="P420" s="74" t="n">
        <x:f>IF(OR(J420="",G420="",K420=""),"",J420*1000000000*(G420/1000)^3/(12*(1-K420^2)))</x:f>
        <x:v>434027.77777777787</x:v>
      </x:c>
      <x:c r="Q420" s="76" t="n">
        <x:f>IF(OR(I420="",P420=""),"",343.2^2/(2*PI())*SQRT(I420/P420))</x:f>
        <x:v>284.5482554856007</x:v>
      </x:c>
      <x:c r="R420" s="58"/>
      <x:c r="S420" s="62" t="n">
        <x:v>0.4</x:v>
      </x:c>
      <x:c r="T420" s="46" t="str">
        <x:v>20 °C / kuru nominal</x:v>
      </x:c>
      <x:c r="U420" s="46" t="str">
        <x:v>DÜŞÜK-ORTA</x:v>
      </x:c>
      <x:c r="V420" s="46" t="str"/>
      <x:c r="W420" s="50" t="str">
        <x:v>Ortogonal/katmanlı ürünlerde tek izotropik E yaklaşımı sınırlıdır; yön bağımlılığı ve bağlantılar ayrıca modellenmelidir.</x:v>
      </x:c>
    </x:row>
    <x:row r="421">
      <x:c r="A421" s="46" t="str">
        <x:v>WL-HOLLOW-BRICK-1000-135</x:v>
      </x:c>
      <x:c r="B421" s="46" t="str">
        <x:v>Diğer rijit duvar katmanı</x:v>
      </x:c>
      <x:c r="C421" s="46" t="str">
        <x:v>Delikli kil tuğla – orta</x:v>
      </x:c>
      <x:c r="D421" s="46" t="str">
        <x:v>GENERIC</x:v>
      </x:c>
      <x:c r="E421" s="46" t="str">
        <x:v>HOLLOW-BRICK-1000</x:v>
      </x:c>
      <x:c r="F421" s="70" t="str">
        <x:v>ENGINEERING_DEFAULT</x:v>
      </x:c>
      <x:c r="G421" s="54" t="n">
        <x:v>135</x:v>
      </x:c>
      <x:c r="H421" s="54" t="n">
        <x:v>1000</x:v>
      </x:c>
      <x:c r="I421" s="74" t="n">
        <x:f>IF(OR(G421="",H421=""),"",G421/1000*H421)</x:f>
        <x:v>135</x:v>
      </x:c>
      <x:c r="J421" s="75" t="n">
        <x:v>5</x:v>
      </x:c>
      <x:c r="K421" s="75" t="n">
        <x:v>0.2</x:v>
      </x:c>
      <x:c r="L421" s="75" t="n">
        <x:v>0.022</x:v>
      </x:c>
      <x:c r="M421" s="75" t="n">
        <x:f>IF(OR(J421="",K421=""),"",J421/(2*(1+K421)))</x:f>
        <x:v>2.0833333333333335</x:v>
      </x:c>
      <x:c r="N421" s="76" t="n">
        <x:f>IF(OR(J421="",H421="",K421=""),"",SQRT(J421*1000000000*(1-K421)/(H421*(1+K421)*(1-2*K421))))</x:f>
        <x:v>2357.0226039551585</x:v>
      </x:c>
      <x:c r="O421" s="75" t="n">
        <x:f>IF(OR(H421="",N421=""),"",H421*N421/1000000)</x:f>
        <x:v>2.3570226039551585</x:v>
      </x:c>
      <x:c r="P421" s="74" t="n">
        <x:f>IF(OR(J421="",G421="",K421=""),"",J421*1000000000*(G421/1000)^3/(12*(1-K421^2)))</x:f>
        <x:v>1067871.0937500002</x:v>
      </x:c>
      <x:c r="Q421" s="76" t="n">
        <x:f>IF(OR(I421="",P421=""),"",343.2^2/(2*PI())*SQRT(I421/P421))</x:f>
        <x:v>210.7764855448894</x:v>
      </x:c>
      <x:c r="R421" s="58"/>
      <x:c r="S421" s="62" t="n">
        <x:v>0.4</x:v>
      </x:c>
      <x:c r="T421" s="46" t="str">
        <x:v>20 °C / kuru nominal</x:v>
      </x:c>
      <x:c r="U421" s="46" t="str">
        <x:v>DÜŞÜK-ORTA</x:v>
      </x:c>
      <x:c r="V421" s="46" t="str"/>
      <x:c r="W421" s="50" t="str">
        <x:v>Ortogonal/katmanlı ürünlerde tek izotropik E yaklaşımı sınırlıdır; yön bağımlılığı ve bağlantılar ayrıca modellenmelidir.</x:v>
      </x:c>
    </x:row>
    <x:row r="422">
      <x:c r="A422" s="46" t="str">
        <x:v>WL-HOLLOW-BRICK-1000-190</x:v>
      </x:c>
      <x:c r="B422" s="46" t="str">
        <x:v>Diğer rijit duvar katmanı</x:v>
      </x:c>
      <x:c r="C422" s="46" t="str">
        <x:v>Delikli kil tuğla – orta</x:v>
      </x:c>
      <x:c r="D422" s="46" t="str">
        <x:v>GENERIC</x:v>
      </x:c>
      <x:c r="E422" s="46" t="str">
        <x:v>HOLLOW-BRICK-1000</x:v>
      </x:c>
      <x:c r="F422" s="70" t="str">
        <x:v>ENGINEERING_DEFAULT</x:v>
      </x:c>
      <x:c r="G422" s="54" t="n">
        <x:v>190</x:v>
      </x:c>
      <x:c r="H422" s="54" t="n">
        <x:v>1000</x:v>
      </x:c>
      <x:c r="I422" s="74" t="n">
        <x:f>IF(OR(G422="",H422=""),"",G422/1000*H422)</x:f>
        <x:v>190</x:v>
      </x:c>
      <x:c r="J422" s="75" t="n">
        <x:v>5</x:v>
      </x:c>
      <x:c r="K422" s="75" t="n">
        <x:v>0.2</x:v>
      </x:c>
      <x:c r="L422" s="75" t="n">
        <x:v>0.022</x:v>
      </x:c>
      <x:c r="M422" s="75" t="n">
        <x:f>IF(OR(J422="",K422=""),"",J422/(2*(1+K422)))</x:f>
        <x:v>2.0833333333333335</x:v>
      </x:c>
      <x:c r="N422" s="76" t="n">
        <x:f>IF(OR(J422="",H422="",K422=""),"",SQRT(J422*1000000000*(1-K422)/(H422*(1+K422)*(1-2*K422))))</x:f>
        <x:v>2357.0226039551585</x:v>
      </x:c>
      <x:c r="O422" s="75" t="n">
        <x:f>IF(OR(H422="",N422=""),"",H422*N422/1000000)</x:f>
        <x:v>2.3570226039551585</x:v>
      </x:c>
      <x:c r="P422" s="74" t="n">
        <x:f>IF(OR(J422="",G422="",K422=""),"",J422*1000000000*(G422/1000)^3/(12*(1-K422^2)))</x:f>
        <x:v>2976996.527777778</x:v>
      </x:c>
      <x:c r="Q422" s="76" t="n">
        <x:f>IF(OR(I422="",P422=""),"",343.2^2/(2*PI())*SQRT(I422/P422))</x:f>
        <x:v>149.7622397292635</x:v>
      </x:c>
      <x:c r="R422" s="58"/>
      <x:c r="S422" s="62" t="n">
        <x:v>0.4</x:v>
      </x:c>
      <x:c r="T422" s="46" t="str">
        <x:v>20 °C / kuru nominal</x:v>
      </x:c>
      <x:c r="U422" s="46" t="str">
        <x:v>DÜŞÜK-ORTA</x:v>
      </x:c>
      <x:c r="V422" s="46" t="str"/>
      <x:c r="W422" s="50" t="str">
        <x:v>Ortogonal/katmanlı ürünlerde tek izotropik E yaklaşımı sınırlıdır; yön bağımlılığı ve bağlantılar ayrıca modellenmelidir.</x:v>
      </x:c>
    </x:row>
    <x:row r="423">
      <x:c r="A423" s="46" t="str">
        <x:v>WL-HOLLOW-BRICK-1000-240</x:v>
      </x:c>
      <x:c r="B423" s="46" t="str">
        <x:v>Diğer rijit duvar katmanı</x:v>
      </x:c>
      <x:c r="C423" s="46" t="str">
        <x:v>Delikli kil tuğla – orta</x:v>
      </x:c>
      <x:c r="D423" s="46" t="str">
        <x:v>GENERIC</x:v>
      </x:c>
      <x:c r="E423" s="46" t="str">
        <x:v>HOLLOW-BRICK-1000</x:v>
      </x:c>
      <x:c r="F423" s="70" t="str">
        <x:v>ENGINEERING_DEFAULT</x:v>
      </x:c>
      <x:c r="G423" s="54" t="n">
        <x:v>240</x:v>
      </x:c>
      <x:c r="H423" s="54" t="n">
        <x:v>1000</x:v>
      </x:c>
      <x:c r="I423" s="74" t="n">
        <x:f>IF(OR(G423="",H423=""),"",G423/1000*H423)</x:f>
        <x:v>240</x:v>
      </x:c>
      <x:c r="J423" s="75" t="n">
        <x:v>5</x:v>
      </x:c>
      <x:c r="K423" s="75" t="n">
        <x:v>0.2</x:v>
      </x:c>
      <x:c r="L423" s="75" t="n">
        <x:v>0.022</x:v>
      </x:c>
      <x:c r="M423" s="75" t="n">
        <x:f>IF(OR(J423="",K423=""),"",J423/(2*(1+K423)))</x:f>
        <x:v>2.0833333333333335</x:v>
      </x:c>
      <x:c r="N423" s="76" t="n">
        <x:f>IF(OR(J423="",H423="",K423=""),"",SQRT(J423*1000000000*(1-K423)/(H423*(1+K423)*(1-2*K423))))</x:f>
        <x:v>2357.0226039551585</x:v>
      </x:c>
      <x:c r="O423" s="75" t="n">
        <x:f>IF(OR(H423="",N423=""),"",H423*N423/1000000)</x:f>
        <x:v>2.3570226039551585</x:v>
      </x:c>
      <x:c r="P423" s="74" t="n">
        <x:f>IF(OR(J423="",G423="",K423=""),"",J423*1000000000*(G423/1000)^3/(12*(1-K423^2)))</x:f>
        <x:v>6000000</x:v>
      </x:c>
      <x:c r="Q423" s="76" t="n">
        <x:f>IF(OR(I423="",P423=""),"",343.2^2/(2*PI())*SQRT(I423/P423))</x:f>
        <x:v>118.56177311900029</x:v>
      </x:c>
      <x:c r="R423" s="58"/>
      <x:c r="S423" s="62" t="n">
        <x:v>0.4</x:v>
      </x:c>
      <x:c r="T423" s="46" t="str">
        <x:v>20 °C / kuru nominal</x:v>
      </x:c>
      <x:c r="U423" s="46" t="str">
        <x:v>DÜŞÜK-ORTA</x:v>
      </x:c>
      <x:c r="V423" s="46" t="str"/>
      <x:c r="W423" s="50" t="str">
        <x:v>Ortogonal/katmanlı ürünlerde tek izotropik E yaklaşımı sınırlıdır; yön bağımlılığı ve bağlantılar ayrıca modellenmelidir.</x:v>
      </x:c>
    </x:row>
    <x:row r="424">
      <x:c r="A424" s="46" t="str">
        <x:v>WL-HOLLOW-BRICK-1200-85</x:v>
      </x:c>
      <x:c r="B424" s="46" t="str">
        <x:v>Diğer rijit duvar katmanı</x:v>
      </x:c>
      <x:c r="C424" s="46" t="str">
        <x:v>Delikli kil tuğla – ağır</x:v>
      </x:c>
      <x:c r="D424" s="46" t="str">
        <x:v>GENERIC</x:v>
      </x:c>
      <x:c r="E424" s="46" t="str">
        <x:v>HOLLOW-BRICK-1200</x:v>
      </x:c>
      <x:c r="F424" s="70" t="str">
        <x:v>ENGINEERING_DEFAULT</x:v>
      </x:c>
      <x:c r="G424" s="54" t="n">
        <x:v>85</x:v>
      </x:c>
      <x:c r="H424" s="54" t="n">
        <x:v>1200</x:v>
      </x:c>
      <x:c r="I424" s="74" t="n">
        <x:f>IF(OR(G424="",H424=""),"",G424/1000*H424)</x:f>
        <x:v>102.00000000000001</x:v>
      </x:c>
      <x:c r="J424" s="75" t="n">
        <x:v>7</x:v>
      </x:c>
      <x:c r="K424" s="75" t="n">
        <x:v>0.2</x:v>
      </x:c>
      <x:c r="L424" s="75" t="n">
        <x:v>0.02</x:v>
      </x:c>
      <x:c r="M424" s="75" t="n">
        <x:f>IF(OR(J424="",K424=""),"",J424/(2*(1+K424)))</x:f>
        <x:v>2.916666666666667</x:v>
      </x:c>
      <x:c r="N424" s="76" t="n">
        <x:f>IF(OR(J424="",H424="",K424=""),"",SQRT(J424*1000000000*(1-K424)/(H424*(1+K424)*(1-2*K424))))</x:f>
        <x:v>2545.8753860865777</x:v>
      </x:c>
      <x:c r="O424" s="75" t="n">
        <x:f>IF(OR(H424="",N424=""),"",H424*N424/1000000)</x:f>
        <x:v>3.0550504633038935</x:v>
      </x:c>
      <x:c r="P424" s="74" t="n">
        <x:f>IF(OR(J424="",G424="",K424=""),"",J424*1000000000*(G424/1000)^3/(12*(1-K424^2)))</x:f>
        <x:v>373166.232638889</x:v>
      </x:c>
      <x:c r="Q424" s="76" t="n">
        <x:f>IF(OR(I424="",P424=""),"",343.2^2/(2*PI())*SQRT(I424/P424))</x:f>
        <x:v>309.9299932750403</x:v>
      </x:c>
      <x:c r="R424" s="58"/>
      <x:c r="S424" s="62" t="n">
        <x:v>0.5</x:v>
      </x:c>
      <x:c r="T424" s="46" t="str">
        <x:v>20 °C / kuru nominal</x:v>
      </x:c>
      <x:c r="U424" s="46" t="str">
        <x:v>DÜŞÜK-ORTA</x:v>
      </x:c>
      <x:c r="V424" s="46" t="str"/>
      <x:c r="W424" s="50" t="str">
        <x:v>Ortogonal/katmanlı ürünlerde tek izotropik E yaklaşımı sınırlıdır; yön bağımlılığı ve bağlantılar ayrıca modellenmelidir.</x:v>
      </x:c>
    </x:row>
    <x:row r="425">
      <x:c r="A425" s="46" t="str">
        <x:v>WL-HOLLOW-BRICK-1200-100</x:v>
      </x:c>
      <x:c r="B425" s="46" t="str">
        <x:v>Diğer rijit duvar katmanı</x:v>
      </x:c>
      <x:c r="C425" s="46" t="str">
        <x:v>Delikli kil tuğla – ağır</x:v>
      </x:c>
      <x:c r="D425" s="46" t="str">
        <x:v>GENERIC</x:v>
      </x:c>
      <x:c r="E425" s="46" t="str">
        <x:v>HOLLOW-BRICK-1200</x:v>
      </x:c>
      <x:c r="F425" s="70" t="str">
        <x:v>ENGINEERING_DEFAULT</x:v>
      </x:c>
      <x:c r="G425" s="54" t="n">
        <x:v>100</x:v>
      </x:c>
      <x:c r="H425" s="54" t="n">
        <x:v>1200</x:v>
      </x:c>
      <x:c r="I425" s="74" t="n">
        <x:f>IF(OR(G425="",H425=""),"",G425/1000*H425)</x:f>
        <x:v>120</x:v>
      </x:c>
      <x:c r="J425" s="75" t="n">
        <x:v>7</x:v>
      </x:c>
      <x:c r="K425" s="75" t="n">
        <x:v>0.2</x:v>
      </x:c>
      <x:c r="L425" s="75" t="n">
        <x:v>0.02</x:v>
      </x:c>
      <x:c r="M425" s="75" t="n">
        <x:f>IF(OR(J425="",K425=""),"",J425/(2*(1+K425)))</x:f>
        <x:v>2.916666666666667</x:v>
      </x:c>
      <x:c r="N425" s="76" t="n">
        <x:f>IF(OR(J425="",H425="",K425=""),"",SQRT(J425*1000000000*(1-K425)/(H425*(1+K425)*(1-2*K425))))</x:f>
        <x:v>2545.8753860865777</x:v>
      </x:c>
      <x:c r="O425" s="75" t="n">
        <x:f>IF(OR(H425="",N425=""),"",H425*N425/1000000)</x:f>
        <x:v>3.0550504633038935</x:v>
      </x:c>
      <x:c r="P425" s="74" t="n">
        <x:f>IF(OR(J425="",G425="",K425=""),"",J425*1000000000*(G425/1000)^3/(12*(1-K425^2)))</x:f>
        <x:v>607638.8888888891</x:v>
      </x:c>
      <x:c r="Q425" s="76" t="n">
        <x:f>IF(OR(I425="",P425=""),"",343.2^2/(2*PI())*SQRT(I425/P425))</x:f>
        <x:v>263.4404942837843</x:v>
      </x:c>
      <x:c r="R425" s="58"/>
      <x:c r="S425" s="62" t="n">
        <x:v>0.5</x:v>
      </x:c>
      <x:c r="T425" s="46" t="str">
        <x:v>20 °C / kuru nominal</x:v>
      </x:c>
      <x:c r="U425" s="46" t="str">
        <x:v>DÜŞÜK-ORTA</x:v>
      </x:c>
      <x:c r="V425" s="46" t="str"/>
      <x:c r="W425" s="50" t="str">
        <x:v>Ortogonal/katmanlı ürünlerde tek izotropik E yaklaşımı sınırlıdır; yön bağımlılığı ve bağlantılar ayrıca modellenmelidir.</x:v>
      </x:c>
    </x:row>
    <x:row r="426">
      <x:c r="A426" s="46" t="str">
        <x:v>WL-HOLLOW-BRICK-1200-135</x:v>
      </x:c>
      <x:c r="B426" s="46" t="str">
        <x:v>Diğer rijit duvar katmanı</x:v>
      </x:c>
      <x:c r="C426" s="46" t="str">
        <x:v>Delikli kil tuğla – ağır</x:v>
      </x:c>
      <x:c r="D426" s="46" t="str">
        <x:v>GENERIC</x:v>
      </x:c>
      <x:c r="E426" s="46" t="str">
        <x:v>HOLLOW-BRICK-1200</x:v>
      </x:c>
      <x:c r="F426" s="70" t="str">
        <x:v>ENGINEERING_DEFAULT</x:v>
      </x:c>
      <x:c r="G426" s="54" t="n">
        <x:v>135</x:v>
      </x:c>
      <x:c r="H426" s="54" t="n">
        <x:v>1200</x:v>
      </x:c>
      <x:c r="I426" s="74" t="n">
        <x:f>IF(OR(G426="",H426=""),"",G426/1000*H426)</x:f>
        <x:v>162</x:v>
      </x:c>
      <x:c r="J426" s="75" t="n">
        <x:v>7</x:v>
      </x:c>
      <x:c r="K426" s="75" t="n">
        <x:v>0.2</x:v>
      </x:c>
      <x:c r="L426" s="75" t="n">
        <x:v>0.02</x:v>
      </x:c>
      <x:c r="M426" s="75" t="n">
        <x:f>IF(OR(J426="",K426=""),"",J426/(2*(1+K426)))</x:f>
        <x:v>2.916666666666667</x:v>
      </x:c>
      <x:c r="N426" s="76" t="n">
        <x:f>IF(OR(J426="",H426="",K426=""),"",SQRT(J426*1000000000*(1-K426)/(H426*(1+K426)*(1-2*K426))))</x:f>
        <x:v>2545.8753860865777</x:v>
      </x:c>
      <x:c r="O426" s="75" t="n">
        <x:f>IF(OR(H426="",N426=""),"",H426*N426/1000000)</x:f>
        <x:v>3.0550504633038935</x:v>
      </x:c>
      <x:c r="P426" s="74" t="n">
        <x:f>IF(OR(J426="",G426="",K426=""),"",J426*1000000000*(G426/1000)^3/(12*(1-K426^2)))</x:f>
        <x:v>1495019.5312500005</x:v>
      </x:c>
      <x:c r="Q426" s="76" t="n">
        <x:f>IF(OR(I426="",P426=""),"",343.2^2/(2*PI())*SQRT(I426/P426))</x:f>
        <x:v>195.14110687687722</x:v>
      </x:c>
      <x:c r="R426" s="58"/>
      <x:c r="S426" s="62" t="n">
        <x:v>0.5</x:v>
      </x:c>
      <x:c r="T426" s="46" t="str">
        <x:v>20 °C / kuru nominal</x:v>
      </x:c>
      <x:c r="U426" s="46" t="str">
        <x:v>DÜŞÜK-ORTA</x:v>
      </x:c>
      <x:c r="V426" s="46" t="str"/>
      <x:c r="W426" s="50" t="str">
        <x:v>Ortogonal/katmanlı ürünlerde tek izotropik E yaklaşımı sınırlıdır; yön bağımlılığı ve bağlantılar ayrıca modellenmelidir.</x:v>
      </x:c>
    </x:row>
    <x:row r="427">
      <x:c r="A427" s="46" t="str">
        <x:v>WL-HOLLOW-BRICK-1200-190</x:v>
      </x:c>
      <x:c r="B427" s="46" t="str">
        <x:v>Diğer rijit duvar katmanı</x:v>
      </x:c>
      <x:c r="C427" s="46" t="str">
        <x:v>Delikli kil tuğla – ağır</x:v>
      </x:c>
      <x:c r="D427" s="46" t="str">
        <x:v>GENERIC</x:v>
      </x:c>
      <x:c r="E427" s="46" t="str">
        <x:v>HOLLOW-BRICK-1200</x:v>
      </x:c>
      <x:c r="F427" s="70" t="str">
        <x:v>ENGINEERING_DEFAULT</x:v>
      </x:c>
      <x:c r="G427" s="54" t="n">
        <x:v>190</x:v>
      </x:c>
      <x:c r="H427" s="54" t="n">
        <x:v>1200</x:v>
      </x:c>
      <x:c r="I427" s="74" t="n">
        <x:f>IF(OR(G427="",H427=""),"",G427/1000*H427)</x:f>
        <x:v>228</x:v>
      </x:c>
      <x:c r="J427" s="75" t="n">
        <x:v>7</x:v>
      </x:c>
      <x:c r="K427" s="75" t="n">
        <x:v>0.2</x:v>
      </x:c>
      <x:c r="L427" s="75" t="n">
        <x:v>0.02</x:v>
      </x:c>
      <x:c r="M427" s="75" t="n">
        <x:f>IF(OR(J427="",K427=""),"",J427/(2*(1+K427)))</x:f>
        <x:v>2.916666666666667</x:v>
      </x:c>
      <x:c r="N427" s="76" t="n">
        <x:f>IF(OR(J427="",H427="",K427=""),"",SQRT(J427*1000000000*(1-K427)/(H427*(1+K427)*(1-2*K427))))</x:f>
        <x:v>2545.8753860865777</x:v>
      </x:c>
      <x:c r="O427" s="75" t="n">
        <x:f>IF(OR(H427="",N427=""),"",H427*N427/1000000)</x:f>
        <x:v>3.0550504633038935</x:v>
      </x:c>
      <x:c r="P427" s="74" t="n">
        <x:f>IF(OR(J427="",G427="",K427=""),"",J427*1000000000*(G427/1000)^3/(12*(1-K427^2)))</x:f>
        <x:v>4167795.138888889</x:v>
      </x:c>
      <x:c r="Q427" s="76" t="n">
        <x:f>IF(OR(I427="",P427=""),"",343.2^2/(2*PI())*SQRT(I427/P427))</x:f>
        <x:v>138.65289172830754</x:v>
      </x:c>
      <x:c r="R427" s="58"/>
      <x:c r="S427" s="62" t="n">
        <x:v>0.5</x:v>
      </x:c>
      <x:c r="T427" s="46" t="str">
        <x:v>20 °C / kuru nominal</x:v>
      </x:c>
      <x:c r="U427" s="46" t="str">
        <x:v>DÜŞÜK-ORTA</x:v>
      </x:c>
      <x:c r="V427" s="46" t="str"/>
      <x:c r="W427" s="50" t="str">
        <x:v>Ortogonal/katmanlı ürünlerde tek izotropik E yaklaşımı sınırlıdır; yön bağımlılığı ve bağlantılar ayrıca modellenmelidir.</x:v>
      </x:c>
    </x:row>
    <x:row r="428">
      <x:c r="A428" s="46" t="str">
        <x:v>WL-HOLLOW-BRICK-1200-240</x:v>
      </x:c>
      <x:c r="B428" s="46" t="str">
        <x:v>Diğer rijit duvar katmanı</x:v>
      </x:c>
      <x:c r="C428" s="46" t="str">
        <x:v>Delikli kil tuğla – ağır</x:v>
      </x:c>
      <x:c r="D428" s="46" t="str">
        <x:v>GENERIC</x:v>
      </x:c>
      <x:c r="E428" s="46" t="str">
        <x:v>HOLLOW-BRICK-1200</x:v>
      </x:c>
      <x:c r="F428" s="70" t="str">
        <x:v>ENGINEERING_DEFAULT</x:v>
      </x:c>
      <x:c r="G428" s="54" t="n">
        <x:v>240</x:v>
      </x:c>
      <x:c r="H428" s="54" t="n">
        <x:v>1200</x:v>
      </x:c>
      <x:c r="I428" s="74" t="n">
        <x:f>IF(OR(G428="",H428=""),"",G428/1000*H428)</x:f>
        <x:v>288</x:v>
      </x:c>
      <x:c r="J428" s="75" t="n">
        <x:v>7</x:v>
      </x:c>
      <x:c r="K428" s="75" t="n">
        <x:v>0.2</x:v>
      </x:c>
      <x:c r="L428" s="75" t="n">
        <x:v>0.02</x:v>
      </x:c>
      <x:c r="M428" s="75" t="n">
        <x:f>IF(OR(J428="",K428=""),"",J428/(2*(1+K428)))</x:f>
        <x:v>2.916666666666667</x:v>
      </x:c>
      <x:c r="N428" s="76" t="n">
        <x:f>IF(OR(J428="",H428="",K428=""),"",SQRT(J428*1000000000*(1-K428)/(H428*(1+K428)*(1-2*K428))))</x:f>
        <x:v>2545.8753860865777</x:v>
      </x:c>
      <x:c r="O428" s="75" t="n">
        <x:f>IF(OR(H428="",N428=""),"",H428*N428/1000000)</x:f>
        <x:v>3.0550504633038935</x:v>
      </x:c>
      <x:c r="P428" s="74" t="n">
        <x:f>IF(OR(J428="",G428="",K428=""),"",J428*1000000000*(G428/1000)^3/(12*(1-K428^2)))</x:f>
        <x:v>8400000</x:v>
      </x:c>
      <x:c r="Q428" s="76" t="n">
        <x:f>IF(OR(I428="",P428=""),"",343.2^2/(2*PI())*SQRT(I428/P428))</x:f>
        <x:v>109.76687261824345</x:v>
      </x:c>
      <x:c r="R428" s="58"/>
      <x:c r="S428" s="62" t="n">
        <x:v>0.5</x:v>
      </x:c>
      <x:c r="T428" s="46" t="str">
        <x:v>20 °C / kuru nominal</x:v>
      </x:c>
      <x:c r="U428" s="46" t="str">
        <x:v>DÜŞÜK-ORTA</x:v>
      </x:c>
      <x:c r="V428" s="46" t="str"/>
      <x:c r="W428" s="50" t="str">
        <x:v>Ortogonal/katmanlı ürünlerde tek izotropik E yaklaşımı sınırlıdır; yön bağımlılığı ve bağlantılar ayrıca modellenmelidir.</x:v>
      </x:c>
    </x:row>
    <x:row r="429">
      <x:c r="A429" s="46" t="str">
        <x:v>WL-SOLID-BRICK-85</x:v>
      </x:c>
      <x:c r="B429" s="46" t="str">
        <x:v>Diğer rijit duvar katmanı</x:v>
      </x:c>
      <x:c r="C429" s="46" t="str">
        <x:v>Dolu kil tuğla</x:v>
      </x:c>
      <x:c r="D429" s="46" t="str">
        <x:v>GENERIC</x:v>
      </x:c>
      <x:c r="E429" s="46" t="str">
        <x:v>SOLID-BRICK</x:v>
      </x:c>
      <x:c r="F429" s="70" t="str">
        <x:v>ENGINEERING_DEFAULT</x:v>
      </x:c>
      <x:c r="G429" s="54" t="n">
        <x:v>85</x:v>
      </x:c>
      <x:c r="H429" s="54" t="n">
        <x:v>1800</x:v>
      </x:c>
      <x:c r="I429" s="74" t="n">
        <x:f>IF(OR(G429="",H429=""),"",G429/1000*H429)</x:f>
        <x:v>153</x:v>
      </x:c>
      <x:c r="J429" s="75" t="n">
        <x:v>12</x:v>
      </x:c>
      <x:c r="K429" s="75" t="n">
        <x:v>0.2</x:v>
      </x:c>
      <x:c r="L429" s="75" t="n">
        <x:v>0.018</x:v>
      </x:c>
      <x:c r="M429" s="75" t="n">
        <x:f>IF(OR(J429="",K429=""),"",J429/(2*(1+K429)))</x:f>
        <x:v>5</x:v>
      </x:c>
      <x:c r="N429" s="76" t="n">
        <x:f>IF(OR(J429="",H429="",K429=""),"",SQRT(J429*1000000000*(1-K429)/(H429*(1+K429)*(1-2*K429))))</x:f>
        <x:v>2721.655269759087</x:v>
      </x:c>
      <x:c r="O429" s="75" t="n">
        <x:f>IF(OR(H429="",N429=""),"",H429*N429/1000000)</x:f>
        <x:v>4.898979485566357</x:v>
      </x:c>
      <x:c r="P429" s="74" t="n">
        <x:f>IF(OR(J429="",G429="",K429=""),"",J429*1000000000*(G429/1000)^3/(12*(1-K429^2)))</x:f>
        <x:v>639713.541666667</x:v>
      </x:c>
      <x:c r="Q429" s="76" t="n">
        <x:f>IF(OR(I429="",P429=""),"",343.2^2/(2*PI())*SQRT(I429/P429))</x:f>
        <x:v>289.91296218008813</x:v>
      </x:c>
      <x:c r="R429" s="58"/>
      <x:c r="S429" s="62" t="n">
        <x:v>0.75</x:v>
      </x:c>
      <x:c r="T429" s="46" t="str">
        <x:v>20 °C / kuru nominal</x:v>
      </x:c>
      <x:c r="U429" s="46" t="str">
        <x:v>DÜŞÜK-ORTA</x:v>
      </x:c>
      <x:c r="V429" s="46" t="str"/>
      <x:c r="W429" s="50" t="str">
        <x:v>Ortogonal/katmanlı ürünlerde tek izotropik E yaklaşımı sınırlıdır; yön bağımlılığı ve bağlantılar ayrıca modellenmelidir.</x:v>
      </x:c>
    </x:row>
    <x:row r="430">
      <x:c r="A430" s="46" t="str">
        <x:v>WL-SOLID-BRICK-100</x:v>
      </x:c>
      <x:c r="B430" s="46" t="str">
        <x:v>Diğer rijit duvar katmanı</x:v>
      </x:c>
      <x:c r="C430" s="46" t="str">
        <x:v>Dolu kil tuğla</x:v>
      </x:c>
      <x:c r="D430" s="46" t="str">
        <x:v>GENERIC</x:v>
      </x:c>
      <x:c r="E430" s="46" t="str">
        <x:v>SOLID-BRICK</x:v>
      </x:c>
      <x:c r="F430" s="70" t="str">
        <x:v>ENGINEERING_DEFAULT</x:v>
      </x:c>
      <x:c r="G430" s="54" t="n">
        <x:v>100</x:v>
      </x:c>
      <x:c r="H430" s="54" t="n">
        <x:v>1800</x:v>
      </x:c>
      <x:c r="I430" s="74" t="n">
        <x:f>IF(OR(G430="",H430=""),"",G430/1000*H430)</x:f>
        <x:v>180</x:v>
      </x:c>
      <x:c r="J430" s="75" t="n">
        <x:v>12</x:v>
      </x:c>
      <x:c r="K430" s="75" t="n">
        <x:v>0.2</x:v>
      </x:c>
      <x:c r="L430" s="75" t="n">
        <x:v>0.018</x:v>
      </x:c>
      <x:c r="M430" s="75" t="n">
        <x:f>IF(OR(J430="",K430=""),"",J430/(2*(1+K430)))</x:f>
        <x:v>5</x:v>
      </x:c>
      <x:c r="N430" s="76" t="n">
        <x:f>IF(OR(J430="",H430="",K430=""),"",SQRT(J430*1000000000*(1-K430)/(H430*(1+K430)*(1-2*K430))))</x:f>
        <x:v>2721.655269759087</x:v>
      </x:c>
      <x:c r="O430" s="75" t="n">
        <x:f>IF(OR(H430="",N430=""),"",H430*N430/1000000)</x:f>
        <x:v>4.898979485566357</x:v>
      </x:c>
      <x:c r="P430" s="74" t="n">
        <x:f>IF(OR(J430="",G430="",K430=""),"",J430*1000000000*(G430/1000)^3/(12*(1-K430^2)))</x:f>
        <x:v>1041666.666666667</x:v>
      </x:c>
      <x:c r="Q430" s="76" t="n">
        <x:f>IF(OR(I430="",P430=""),"",343.2^2/(2*PI())*SQRT(I430/P430))</x:f>
        <x:v>246.4260178530749</x:v>
      </x:c>
      <x:c r="R430" s="58"/>
      <x:c r="S430" s="62" t="n">
        <x:v>0.75</x:v>
      </x:c>
      <x:c r="T430" s="46" t="str">
        <x:v>20 °C / kuru nominal</x:v>
      </x:c>
      <x:c r="U430" s="46" t="str">
        <x:v>DÜŞÜK-ORTA</x:v>
      </x:c>
      <x:c r="V430" s="46" t="str"/>
      <x:c r="W430" s="50" t="str">
        <x:v>Ortogonal/katmanlı ürünlerde tek izotropik E yaklaşımı sınırlıdır; yön bağımlılığı ve bağlantılar ayrıca modellenmelidir.</x:v>
      </x:c>
    </x:row>
    <x:row r="431">
      <x:c r="A431" s="46" t="str">
        <x:v>WL-SOLID-BRICK-135</x:v>
      </x:c>
      <x:c r="B431" s="46" t="str">
        <x:v>Diğer rijit duvar katmanı</x:v>
      </x:c>
      <x:c r="C431" s="46" t="str">
        <x:v>Dolu kil tuğla</x:v>
      </x:c>
      <x:c r="D431" s="46" t="str">
        <x:v>GENERIC</x:v>
      </x:c>
      <x:c r="E431" s="46" t="str">
        <x:v>SOLID-BRICK</x:v>
      </x:c>
      <x:c r="F431" s="70" t="str">
        <x:v>ENGINEERING_DEFAULT</x:v>
      </x:c>
      <x:c r="G431" s="54" t="n">
        <x:v>135</x:v>
      </x:c>
      <x:c r="H431" s="54" t="n">
        <x:v>1800</x:v>
      </x:c>
      <x:c r="I431" s="74" t="n">
        <x:f>IF(OR(G431="",H431=""),"",G431/1000*H431)</x:f>
        <x:v>243.00000000000003</x:v>
      </x:c>
      <x:c r="J431" s="75" t="n">
        <x:v>12</x:v>
      </x:c>
      <x:c r="K431" s="75" t="n">
        <x:v>0.2</x:v>
      </x:c>
      <x:c r="L431" s="75" t="n">
        <x:v>0.018</x:v>
      </x:c>
      <x:c r="M431" s="75" t="n">
        <x:f>IF(OR(J431="",K431=""),"",J431/(2*(1+K431)))</x:f>
        <x:v>5</x:v>
      </x:c>
      <x:c r="N431" s="76" t="n">
        <x:f>IF(OR(J431="",H431="",K431=""),"",SQRT(J431*1000000000*(1-K431)/(H431*(1+K431)*(1-2*K431))))</x:f>
        <x:v>2721.655269759087</x:v>
      </x:c>
      <x:c r="O431" s="75" t="n">
        <x:f>IF(OR(H431="",N431=""),"",H431*N431/1000000)</x:f>
        <x:v>4.898979485566357</x:v>
      </x:c>
      <x:c r="P431" s="74" t="n">
        <x:f>IF(OR(J431="",G431="",K431=""),"",J431*1000000000*(G431/1000)^3/(12*(1-K431^2)))</x:f>
        <x:v>2562890.6250000005</x:v>
      </x:c>
      <x:c r="Q431" s="76" t="n">
        <x:f>IF(OR(I431="",P431=""),"",343.2^2/(2*PI())*SQRT(I431/P431))</x:f>
        <x:v>182.53779100227774</x:v>
      </x:c>
      <x:c r="R431" s="58"/>
      <x:c r="S431" s="62" t="n">
        <x:v>0.75</x:v>
      </x:c>
      <x:c r="T431" s="46" t="str">
        <x:v>20 °C / kuru nominal</x:v>
      </x:c>
      <x:c r="U431" s="46" t="str">
        <x:v>DÜŞÜK-ORTA</x:v>
      </x:c>
      <x:c r="V431" s="46" t="str"/>
      <x:c r="W431" s="50" t="str">
        <x:v>Ortogonal/katmanlı ürünlerde tek izotropik E yaklaşımı sınırlıdır; yön bağımlılığı ve bağlantılar ayrıca modellenmelidir.</x:v>
      </x:c>
    </x:row>
    <x:row r="432">
      <x:c r="A432" s="46" t="str">
        <x:v>WL-SOLID-BRICK-190</x:v>
      </x:c>
      <x:c r="B432" s="46" t="str">
        <x:v>Diğer rijit duvar katmanı</x:v>
      </x:c>
      <x:c r="C432" s="46" t="str">
        <x:v>Dolu kil tuğla</x:v>
      </x:c>
      <x:c r="D432" s="46" t="str">
        <x:v>GENERIC</x:v>
      </x:c>
      <x:c r="E432" s="46" t="str">
        <x:v>SOLID-BRICK</x:v>
      </x:c>
      <x:c r="F432" s="70" t="str">
        <x:v>ENGINEERING_DEFAULT</x:v>
      </x:c>
      <x:c r="G432" s="54" t="n">
        <x:v>190</x:v>
      </x:c>
      <x:c r="H432" s="54" t="n">
        <x:v>1800</x:v>
      </x:c>
      <x:c r="I432" s="74" t="n">
        <x:f>IF(OR(G432="",H432=""),"",G432/1000*H432)</x:f>
        <x:v>342</x:v>
      </x:c>
      <x:c r="J432" s="75" t="n">
        <x:v>12</x:v>
      </x:c>
      <x:c r="K432" s="75" t="n">
        <x:v>0.2</x:v>
      </x:c>
      <x:c r="L432" s="75" t="n">
        <x:v>0.018</x:v>
      </x:c>
      <x:c r="M432" s="75" t="n">
        <x:f>IF(OR(J432="",K432=""),"",J432/(2*(1+K432)))</x:f>
        <x:v>5</x:v>
      </x:c>
      <x:c r="N432" s="76" t="n">
        <x:f>IF(OR(J432="",H432="",K432=""),"",SQRT(J432*1000000000*(1-K432)/(H432*(1+K432)*(1-2*K432))))</x:f>
        <x:v>2721.655269759087</x:v>
      </x:c>
      <x:c r="O432" s="75" t="n">
        <x:f>IF(OR(H432="",N432=""),"",H432*N432/1000000)</x:f>
        <x:v>4.898979485566357</x:v>
      </x:c>
      <x:c r="P432" s="74" t="n">
        <x:f>IF(OR(J432="",G432="",K432=""),"",J432*1000000000*(G432/1000)^3/(12*(1-K432^2)))</x:f>
        <x:v>7144791.666666667</x:v>
      </x:c>
      <x:c r="Q432" s="76" t="n">
        <x:f>IF(OR(I432="",P432=""),"",343.2^2/(2*PI())*SQRT(I432/P432))</x:f>
        <x:v>129.69790413319734</x:v>
      </x:c>
      <x:c r="R432" s="58"/>
      <x:c r="S432" s="62" t="n">
        <x:v>0.75</x:v>
      </x:c>
      <x:c r="T432" s="46" t="str">
        <x:v>20 °C / kuru nominal</x:v>
      </x:c>
      <x:c r="U432" s="46" t="str">
        <x:v>DÜŞÜK-ORTA</x:v>
      </x:c>
      <x:c r="V432" s="46" t="str"/>
      <x:c r="W432" s="50" t="str">
        <x:v>Ortogonal/katmanlı ürünlerde tek izotropik E yaklaşımı sınırlıdır; yön bağımlılığı ve bağlantılar ayrıca modellenmelidir.</x:v>
      </x:c>
    </x:row>
    <x:row r="433">
      <x:c r="A433" s="46" t="str">
        <x:v>WL-SOLID-BRICK-240</x:v>
      </x:c>
      <x:c r="B433" s="46" t="str">
        <x:v>Diğer rijit duvar katmanı</x:v>
      </x:c>
      <x:c r="C433" s="46" t="str">
        <x:v>Dolu kil tuğla</x:v>
      </x:c>
      <x:c r="D433" s="46" t="str">
        <x:v>GENERIC</x:v>
      </x:c>
      <x:c r="E433" s="46" t="str">
        <x:v>SOLID-BRICK</x:v>
      </x:c>
      <x:c r="F433" s="70" t="str">
        <x:v>ENGINEERING_DEFAULT</x:v>
      </x:c>
      <x:c r="G433" s="54" t="n">
        <x:v>240</x:v>
      </x:c>
      <x:c r="H433" s="54" t="n">
        <x:v>1800</x:v>
      </x:c>
      <x:c r="I433" s="74" t="n">
        <x:f>IF(OR(G433="",H433=""),"",G433/1000*H433)</x:f>
        <x:v>432</x:v>
      </x:c>
      <x:c r="J433" s="75" t="n">
        <x:v>12</x:v>
      </x:c>
      <x:c r="K433" s="75" t="n">
        <x:v>0.2</x:v>
      </x:c>
      <x:c r="L433" s="75" t="n">
        <x:v>0.018</x:v>
      </x:c>
      <x:c r="M433" s="75" t="n">
        <x:f>IF(OR(J433="",K433=""),"",J433/(2*(1+K433)))</x:f>
        <x:v>5</x:v>
      </x:c>
      <x:c r="N433" s="76" t="n">
        <x:f>IF(OR(J433="",H433="",K433=""),"",SQRT(J433*1000000000*(1-K433)/(H433*(1+K433)*(1-2*K433))))</x:f>
        <x:v>2721.655269759087</x:v>
      </x:c>
      <x:c r="O433" s="75" t="n">
        <x:f>IF(OR(H433="",N433=""),"",H433*N433/1000000)</x:f>
        <x:v>4.898979485566357</x:v>
      </x:c>
      <x:c r="P433" s="74" t="n">
        <x:f>IF(OR(J433="",G433="",K433=""),"",J433*1000000000*(G433/1000)^3/(12*(1-K433^2)))</x:f>
        <x:v>14400000</x:v>
      </x:c>
      <x:c r="Q433" s="76" t="n">
        <x:f>IF(OR(I433="",P433=""),"",343.2^2/(2*PI())*SQRT(I433/P433))</x:f>
        <x:v>102.67750743878123</x:v>
      </x:c>
      <x:c r="R433" s="58"/>
      <x:c r="S433" s="62" t="n">
        <x:v>0.75</x:v>
      </x:c>
      <x:c r="T433" s="46" t="str">
        <x:v>20 °C / kuru nominal</x:v>
      </x:c>
      <x:c r="U433" s="46" t="str">
        <x:v>DÜŞÜK-ORTA</x:v>
      </x:c>
      <x:c r="V433" s="46" t="str"/>
      <x:c r="W433" s="50" t="str">
        <x:v>Ortogonal/katmanlı ürünlerde tek izotropik E yaklaşımı sınırlıdır; yön bağımlılığı ve bağlantılar ayrıca modellenmelidir.</x:v>
      </x:c>
    </x:row>
    <x:row r="434">
      <x:c r="A434" s="46" t="str">
        <x:v>WL-SAND-LIME-70</x:v>
      </x:c>
      <x:c r="B434" s="46" t="str">
        <x:v>Diğer rijit duvar katmanı</x:v>
      </x:c>
      <x:c r="C434" s="46" t="str">
        <x:v>Kireç-kum / silikat blok</x:v>
      </x:c>
      <x:c r="D434" s="46" t="str">
        <x:v>GENERIC</x:v>
      </x:c>
      <x:c r="E434" s="46" t="str">
        <x:v>SAND-LIME</x:v>
      </x:c>
      <x:c r="F434" s="70" t="str">
        <x:v>ENGINEERING_DEFAULT</x:v>
      </x:c>
      <x:c r="G434" s="54" t="n">
        <x:v>70</x:v>
      </x:c>
      <x:c r="H434" s="54" t="n">
        <x:v>1800</x:v>
      </x:c>
      <x:c r="I434" s="74" t="n">
        <x:f>IF(OR(G434="",H434=""),"",G434/1000*H434)</x:f>
        <x:v>126.00000000000001</x:v>
      </x:c>
      <x:c r="J434" s="75" t="n">
        <x:v>15</x:v>
      </x:c>
      <x:c r="K434" s="75" t="n">
        <x:v>0.2</x:v>
      </x:c>
      <x:c r="L434" s="75" t="n">
        <x:v>0.015</x:v>
      </x:c>
      <x:c r="M434" s="75" t="n">
        <x:f>IF(OR(J434="",K434=""),"",J434/(2*(1+K434)))</x:f>
        <x:v>6.25</x:v>
      </x:c>
      <x:c r="N434" s="76" t="n">
        <x:f>IF(OR(J434="",H434="",K434=""),"",SQRT(J434*1000000000*(1-K434)/(H434*(1+K434)*(1-2*K434))))</x:f>
        <x:v>3042.9030972509227</x:v>
      </x:c>
      <x:c r="O434" s="75" t="n">
        <x:f>IF(OR(H434="",N434=""),"",H434*N434/1000000)</x:f>
        <x:v>5.47722557505166</x:v>
      </x:c>
      <x:c r="P434" s="74" t="n">
        <x:f>IF(OR(J434="",G434="",K434=""),"",J434*1000000000*(G434/1000)^3/(12*(1-K434^2)))</x:f>
        <x:v>446614.5833333335</x:v>
      </x:c>
      <x:c r="Q434" s="76" t="n">
        <x:f>IF(OR(I434="",P434=""),"",343.2^2/(2*PI())*SQRT(I434/P434))</x:f>
        <x:v>314.87161562517275</x:v>
      </x:c>
      <x:c r="R434" s="58"/>
      <x:c r="S434" s="62" t="n">
        <x:v>0.9</x:v>
      </x:c>
      <x:c r="T434" s="46" t="str">
        <x:v>20 °C / kuru nominal</x:v>
      </x:c>
      <x:c r="U434" s="46" t="str">
        <x:v>DÜŞÜK-ORTA</x:v>
      </x:c>
      <x:c r="V434" s="46" t="str"/>
      <x:c r="W434" s="50" t="str">
        <x:v>Ortogonal/katmanlı ürünlerde tek izotropik E yaklaşımı sınırlıdır; yön bağımlılığı ve bağlantılar ayrıca modellenmelidir.</x:v>
      </x:c>
    </x:row>
    <x:row r="435">
      <x:c r="A435" s="46" t="str">
        <x:v>WL-SAND-LIME-100</x:v>
      </x:c>
      <x:c r="B435" s="46" t="str">
        <x:v>Diğer rijit duvar katmanı</x:v>
      </x:c>
      <x:c r="C435" s="46" t="str">
        <x:v>Kireç-kum / silikat blok</x:v>
      </x:c>
      <x:c r="D435" s="46" t="str">
        <x:v>GENERIC</x:v>
      </x:c>
      <x:c r="E435" s="46" t="str">
        <x:v>SAND-LIME</x:v>
      </x:c>
      <x:c r="F435" s="70" t="str">
        <x:v>ENGINEERING_DEFAULT</x:v>
      </x:c>
      <x:c r="G435" s="54" t="n">
        <x:v>100</x:v>
      </x:c>
      <x:c r="H435" s="54" t="n">
        <x:v>1800</x:v>
      </x:c>
      <x:c r="I435" s="74" t="n">
        <x:f>IF(OR(G435="",H435=""),"",G435/1000*H435)</x:f>
        <x:v>180</x:v>
      </x:c>
      <x:c r="J435" s="75" t="n">
        <x:v>15</x:v>
      </x:c>
      <x:c r="K435" s="75" t="n">
        <x:v>0.2</x:v>
      </x:c>
      <x:c r="L435" s="75" t="n">
        <x:v>0.015</x:v>
      </x:c>
      <x:c r="M435" s="75" t="n">
        <x:f>IF(OR(J435="",K435=""),"",J435/(2*(1+K435)))</x:f>
        <x:v>6.25</x:v>
      </x:c>
      <x:c r="N435" s="76" t="n">
        <x:f>IF(OR(J435="",H435="",K435=""),"",SQRT(J435*1000000000*(1-K435)/(H435*(1+K435)*(1-2*K435))))</x:f>
        <x:v>3042.9030972509227</x:v>
      </x:c>
      <x:c r="O435" s="75" t="n">
        <x:f>IF(OR(H435="",N435=""),"",H435*N435/1000000)</x:f>
        <x:v>5.47722557505166</x:v>
      </x:c>
      <x:c r="P435" s="74" t="n">
        <x:f>IF(OR(J435="",G435="",K435=""),"",J435*1000000000*(G435/1000)^3/(12*(1-K435^2)))</x:f>
        <x:v>1302083.3333333337</x:v>
      </x:c>
      <x:c r="Q435" s="76" t="n">
        <x:f>IF(OR(I435="",P435=""),"",343.2^2/(2*PI())*SQRT(I435/P435))</x:f>
        <x:v>220.4101309376209</x:v>
      </x:c>
      <x:c r="R435" s="58"/>
      <x:c r="S435" s="62" t="n">
        <x:v>0.9</x:v>
      </x:c>
      <x:c r="T435" s="46" t="str">
        <x:v>20 °C / kuru nominal</x:v>
      </x:c>
      <x:c r="U435" s="46" t="str">
        <x:v>DÜŞÜK-ORTA</x:v>
      </x:c>
      <x:c r="V435" s="46" t="str"/>
      <x:c r="W435" s="50" t="str">
        <x:v>Ortogonal/katmanlı ürünlerde tek izotropik E yaklaşımı sınırlıdır; yön bağımlılığı ve bağlantılar ayrıca modellenmelidir.</x:v>
      </x:c>
    </x:row>
    <x:row r="436">
      <x:c r="A436" s="46" t="str">
        <x:v>WL-SAND-LIME-115</x:v>
      </x:c>
      <x:c r="B436" s="46" t="str">
        <x:v>Diğer rijit duvar katmanı</x:v>
      </x:c>
      <x:c r="C436" s="46" t="str">
        <x:v>Kireç-kum / silikat blok</x:v>
      </x:c>
      <x:c r="D436" s="46" t="str">
        <x:v>GENERIC</x:v>
      </x:c>
      <x:c r="E436" s="46" t="str">
        <x:v>SAND-LIME</x:v>
      </x:c>
      <x:c r="F436" s="70" t="str">
        <x:v>ENGINEERING_DEFAULT</x:v>
      </x:c>
      <x:c r="G436" s="54" t="n">
        <x:v>115</x:v>
      </x:c>
      <x:c r="H436" s="54" t="n">
        <x:v>1800</x:v>
      </x:c>
      <x:c r="I436" s="74" t="n">
        <x:f>IF(OR(G436="",H436=""),"",G436/1000*H436)</x:f>
        <x:v>207</x:v>
      </x:c>
      <x:c r="J436" s="75" t="n">
        <x:v>15</x:v>
      </x:c>
      <x:c r="K436" s="75" t="n">
        <x:v>0.2</x:v>
      </x:c>
      <x:c r="L436" s="75" t="n">
        <x:v>0.015</x:v>
      </x:c>
      <x:c r="M436" s="75" t="n">
        <x:f>IF(OR(J436="",K436=""),"",J436/(2*(1+K436)))</x:f>
        <x:v>6.25</x:v>
      </x:c>
      <x:c r="N436" s="76" t="n">
        <x:f>IF(OR(J436="",H436="",K436=""),"",SQRT(J436*1000000000*(1-K436)/(H436*(1+K436)*(1-2*K436))))</x:f>
        <x:v>3042.9030972509227</x:v>
      </x:c>
      <x:c r="O436" s="75" t="n">
        <x:f>IF(OR(H436="",N436=""),"",H436*N436/1000000)</x:f>
        <x:v>5.47722557505166</x:v>
      </x:c>
      <x:c r="P436" s="74" t="n">
        <x:f>IF(OR(J436="",G436="",K436=""),"",J436*1000000000*(G436/1000)^3/(12*(1-K436^2)))</x:f>
        <x:v>1980305.9895833335</x:v>
      </x:c>
      <x:c r="Q436" s="76" t="n">
        <x:f>IF(OR(I436="",P436=""),"",343.2^2/(2*PI())*SQRT(I436/P436))</x:f>
        <x:v>191.66098342401818</x:v>
      </x:c>
      <x:c r="R436" s="58"/>
      <x:c r="S436" s="62" t="n">
        <x:v>0.9</x:v>
      </x:c>
      <x:c r="T436" s="46" t="str">
        <x:v>20 °C / kuru nominal</x:v>
      </x:c>
      <x:c r="U436" s="46" t="str">
        <x:v>DÜŞÜK-ORTA</x:v>
      </x:c>
      <x:c r="V436" s="46" t="str"/>
      <x:c r="W436" s="50" t="str">
        <x:v>Ortogonal/katmanlı ürünlerde tek izotropik E yaklaşımı sınırlıdır; yön bağımlılığı ve bağlantılar ayrıca modellenmelidir.</x:v>
      </x:c>
    </x:row>
    <x:row r="437">
      <x:c r="A437" s="46" t="str">
        <x:v>WL-SAND-LIME-150</x:v>
      </x:c>
      <x:c r="B437" s="46" t="str">
        <x:v>Diğer rijit duvar katmanı</x:v>
      </x:c>
      <x:c r="C437" s="46" t="str">
        <x:v>Kireç-kum / silikat blok</x:v>
      </x:c>
      <x:c r="D437" s="46" t="str">
        <x:v>GENERIC</x:v>
      </x:c>
      <x:c r="E437" s="46" t="str">
        <x:v>SAND-LIME</x:v>
      </x:c>
      <x:c r="F437" s="70" t="str">
        <x:v>ENGINEERING_DEFAULT</x:v>
      </x:c>
      <x:c r="G437" s="54" t="n">
        <x:v>150</x:v>
      </x:c>
      <x:c r="H437" s="54" t="n">
        <x:v>1800</x:v>
      </x:c>
      <x:c r="I437" s="74" t="n">
        <x:f>IF(OR(G437="",H437=""),"",G437/1000*H437)</x:f>
        <x:v>270</x:v>
      </x:c>
      <x:c r="J437" s="75" t="n">
        <x:v>15</x:v>
      </x:c>
      <x:c r="K437" s="75" t="n">
        <x:v>0.2</x:v>
      </x:c>
      <x:c r="L437" s="75" t="n">
        <x:v>0.015</x:v>
      </x:c>
      <x:c r="M437" s="75" t="n">
        <x:f>IF(OR(J437="",K437=""),"",J437/(2*(1+K437)))</x:f>
        <x:v>6.25</x:v>
      </x:c>
      <x:c r="N437" s="76" t="n">
        <x:f>IF(OR(J437="",H437="",K437=""),"",SQRT(J437*1000000000*(1-K437)/(H437*(1+K437)*(1-2*K437))))</x:f>
        <x:v>3042.9030972509227</x:v>
      </x:c>
      <x:c r="O437" s="75" t="n">
        <x:f>IF(OR(H437="",N437=""),"",H437*N437/1000000)</x:f>
        <x:v>5.47722557505166</x:v>
      </x:c>
      <x:c r="P437" s="74" t="n">
        <x:f>IF(OR(J437="",G437="",K437=""),"",J437*1000000000*(G437/1000)^3/(12*(1-K437^2)))</x:f>
        <x:v>4394531.25</x:v>
      </x:c>
      <x:c r="Q437" s="76" t="n">
        <x:f>IF(OR(I437="",P437=""),"",343.2^2/(2*PI())*SQRT(I437/P437))</x:f>
        <x:v>146.9400872917473</x:v>
      </x:c>
      <x:c r="R437" s="58"/>
      <x:c r="S437" s="62" t="n">
        <x:v>0.9</x:v>
      </x:c>
      <x:c r="T437" s="46" t="str">
        <x:v>20 °C / kuru nominal</x:v>
      </x:c>
      <x:c r="U437" s="46" t="str">
        <x:v>DÜŞÜK-ORTA</x:v>
      </x:c>
      <x:c r="V437" s="46" t="str"/>
      <x:c r="W437" s="50" t="str">
        <x:v>Ortogonal/katmanlı ürünlerde tek izotropik E yaklaşımı sınırlıdır; yön bağımlılığı ve bağlantılar ayrıca modellenmelidir.</x:v>
      </x:c>
    </x:row>
    <x:row r="438">
      <x:c r="A438" s="46" t="str">
        <x:v>WL-SAND-LIME-175</x:v>
      </x:c>
      <x:c r="B438" s="46" t="str">
        <x:v>Diğer rijit duvar katmanı</x:v>
      </x:c>
      <x:c r="C438" s="46" t="str">
        <x:v>Kireç-kum / silikat blok</x:v>
      </x:c>
      <x:c r="D438" s="46" t="str">
        <x:v>GENERIC</x:v>
      </x:c>
      <x:c r="E438" s="46" t="str">
        <x:v>SAND-LIME</x:v>
      </x:c>
      <x:c r="F438" s="70" t="str">
        <x:v>ENGINEERING_DEFAULT</x:v>
      </x:c>
      <x:c r="G438" s="54" t="n">
        <x:v>175</x:v>
      </x:c>
      <x:c r="H438" s="54" t="n">
        <x:v>1800</x:v>
      </x:c>
      <x:c r="I438" s="74" t="n">
        <x:f>IF(OR(G438="",H438=""),"",G438/1000*H438)</x:f>
        <x:v>315</x:v>
      </x:c>
      <x:c r="J438" s="75" t="n">
        <x:v>15</x:v>
      </x:c>
      <x:c r="K438" s="75" t="n">
        <x:v>0.2</x:v>
      </x:c>
      <x:c r="L438" s="75" t="n">
        <x:v>0.015</x:v>
      </x:c>
      <x:c r="M438" s="75" t="n">
        <x:f>IF(OR(J438="",K438=""),"",J438/(2*(1+K438)))</x:f>
        <x:v>6.25</x:v>
      </x:c>
      <x:c r="N438" s="76" t="n">
        <x:f>IF(OR(J438="",H438="",K438=""),"",SQRT(J438*1000000000*(1-K438)/(H438*(1+K438)*(1-2*K438))))</x:f>
        <x:v>3042.9030972509227</x:v>
      </x:c>
      <x:c r="O438" s="75" t="n">
        <x:f>IF(OR(H438="",N438=""),"",H438*N438/1000000)</x:f>
        <x:v>5.47722557505166</x:v>
      </x:c>
      <x:c r="P438" s="74" t="n">
        <x:f>IF(OR(J438="",G438="",K438=""),"",J438*1000000000*(G438/1000)^3/(12*(1-K438^2)))</x:f>
        <x:v>6978352.864583332</x:v>
      </x:c>
      <x:c r="Q438" s="76" t="n">
        <x:f>IF(OR(I438="",P438=""),"",343.2^2/(2*PI())*SQRT(I438/P438))</x:f>
        <x:v>125.94864625006913</x:v>
      </x:c>
      <x:c r="R438" s="58"/>
      <x:c r="S438" s="62" t="n">
        <x:v>0.9</x:v>
      </x:c>
      <x:c r="T438" s="46" t="str">
        <x:v>20 °C / kuru nominal</x:v>
      </x:c>
      <x:c r="U438" s="46" t="str">
        <x:v>DÜŞÜK-ORTA</x:v>
      </x:c>
      <x:c r="V438" s="46" t="str"/>
      <x:c r="W438" s="50" t="str">
        <x:v>Ortogonal/katmanlı ürünlerde tek izotropik E yaklaşımı sınırlıdır; yön bağımlılığı ve bağlantılar ayrıca modellenmelidir.</x:v>
      </x:c>
    </x:row>
    <x:row r="439">
      <x:c r="A439" s="46" t="str">
        <x:v>WL-SAND-LIME-200</x:v>
      </x:c>
      <x:c r="B439" s="46" t="str">
        <x:v>Diğer rijit duvar katmanı</x:v>
      </x:c>
      <x:c r="C439" s="46" t="str">
        <x:v>Kireç-kum / silikat blok</x:v>
      </x:c>
      <x:c r="D439" s="46" t="str">
        <x:v>GENERIC</x:v>
      </x:c>
      <x:c r="E439" s="46" t="str">
        <x:v>SAND-LIME</x:v>
      </x:c>
      <x:c r="F439" s="70" t="str">
        <x:v>ENGINEERING_DEFAULT</x:v>
      </x:c>
      <x:c r="G439" s="54" t="n">
        <x:v>200</x:v>
      </x:c>
      <x:c r="H439" s="54" t="n">
        <x:v>1800</x:v>
      </x:c>
      <x:c r="I439" s="74" t="n">
        <x:f>IF(OR(G439="",H439=""),"",G439/1000*H439)</x:f>
        <x:v>360</x:v>
      </x:c>
      <x:c r="J439" s="75" t="n">
        <x:v>15</x:v>
      </x:c>
      <x:c r="K439" s="75" t="n">
        <x:v>0.2</x:v>
      </x:c>
      <x:c r="L439" s="75" t="n">
        <x:v>0.015</x:v>
      </x:c>
      <x:c r="M439" s="75" t="n">
        <x:f>IF(OR(J439="",K439=""),"",J439/(2*(1+K439)))</x:f>
        <x:v>6.25</x:v>
      </x:c>
      <x:c r="N439" s="76" t="n">
        <x:f>IF(OR(J439="",H439="",K439=""),"",SQRT(J439*1000000000*(1-K439)/(H439*(1+K439)*(1-2*K439))))</x:f>
        <x:v>3042.9030972509227</x:v>
      </x:c>
      <x:c r="O439" s="75" t="n">
        <x:f>IF(OR(H439="",N439=""),"",H439*N439/1000000)</x:f>
        <x:v>5.47722557505166</x:v>
      </x:c>
      <x:c r="P439" s="74" t="n">
        <x:f>IF(OR(J439="",G439="",K439=""),"",J439*1000000000*(G439/1000)^3/(12*(1-K439^2)))</x:f>
        <x:v>10416666.66666667</x:v>
      </x:c>
      <x:c r="Q439" s="76" t="n">
        <x:f>IF(OR(I439="",P439=""),"",343.2^2/(2*PI())*SQRT(I439/P439))</x:f>
        <x:v>110.20506546881045</x:v>
      </x:c>
      <x:c r="R439" s="58"/>
      <x:c r="S439" s="62" t="n">
        <x:v>0.9</x:v>
      </x:c>
      <x:c r="T439" s="46" t="str">
        <x:v>20 °C / kuru nominal</x:v>
      </x:c>
      <x:c r="U439" s="46" t="str">
        <x:v>DÜŞÜK-ORTA</x:v>
      </x:c>
      <x:c r="V439" s="46" t="str"/>
      <x:c r="W439" s="50" t="str">
        <x:v>Ortogonal/katmanlı ürünlerde tek izotropik E yaklaşımı sınırlıdır; yön bağımlılığı ve bağlantılar ayrıca modellenmelidir.</x:v>
      </x:c>
    </x:row>
    <x:row r="440">
      <x:c r="A440" s="46" t="str">
        <x:v>WL-SAND-LIME-240</x:v>
      </x:c>
      <x:c r="B440" s="46" t="str">
        <x:v>Diğer rijit duvar katmanı</x:v>
      </x:c>
      <x:c r="C440" s="46" t="str">
        <x:v>Kireç-kum / silikat blok</x:v>
      </x:c>
      <x:c r="D440" s="46" t="str">
        <x:v>GENERIC</x:v>
      </x:c>
      <x:c r="E440" s="46" t="str">
        <x:v>SAND-LIME</x:v>
      </x:c>
      <x:c r="F440" s="70" t="str">
        <x:v>ENGINEERING_DEFAULT</x:v>
      </x:c>
      <x:c r="G440" s="54" t="n">
        <x:v>240</x:v>
      </x:c>
      <x:c r="H440" s="54" t="n">
        <x:v>1800</x:v>
      </x:c>
      <x:c r="I440" s="74" t="n">
        <x:f>IF(OR(G440="",H440=""),"",G440/1000*H440)</x:f>
        <x:v>432</x:v>
      </x:c>
      <x:c r="J440" s="75" t="n">
        <x:v>15</x:v>
      </x:c>
      <x:c r="K440" s="75" t="n">
        <x:v>0.2</x:v>
      </x:c>
      <x:c r="L440" s="75" t="n">
        <x:v>0.015</x:v>
      </x:c>
      <x:c r="M440" s="75" t="n">
        <x:f>IF(OR(J440="",K440=""),"",J440/(2*(1+K440)))</x:f>
        <x:v>6.25</x:v>
      </x:c>
      <x:c r="N440" s="76" t="n">
        <x:f>IF(OR(J440="",H440="",K440=""),"",SQRT(J440*1000000000*(1-K440)/(H440*(1+K440)*(1-2*K440))))</x:f>
        <x:v>3042.9030972509227</x:v>
      </x:c>
      <x:c r="O440" s="75" t="n">
        <x:f>IF(OR(H440="",N440=""),"",H440*N440/1000000)</x:f>
        <x:v>5.47722557505166</x:v>
      </x:c>
      <x:c r="P440" s="74" t="n">
        <x:f>IF(OR(J440="",G440="",K440=""),"",J440*1000000000*(G440/1000)^3/(12*(1-K440^2)))</x:f>
        <x:v>18000000</x:v>
      </x:c>
      <x:c r="Q440" s="76" t="n">
        <x:f>IF(OR(I440="",P440=""),"",343.2^2/(2*PI())*SQRT(I440/P440))</x:f>
        <x:v>91.83755455734207</x:v>
      </x:c>
      <x:c r="R440" s="58"/>
      <x:c r="S440" s="62" t="n">
        <x:v>0.9</x:v>
      </x:c>
      <x:c r="T440" s="46" t="str">
        <x:v>20 °C / kuru nominal</x:v>
      </x:c>
      <x:c r="U440" s="46" t="str">
        <x:v>DÜŞÜK-ORTA</x:v>
      </x:c>
      <x:c r="V440" s="46" t="str"/>
      <x:c r="W440" s="50" t="str">
        <x:v>Ortogonal/katmanlı ürünlerde tek izotropik E yaklaşımı sınırlıdır; yön bağımlılığı ve bağlantılar ayrıca modellenmelidir.</x:v>
      </x:c>
    </x:row>
    <x:row r="441">
      <x:c r="A441" s="46" t="str">
        <x:v>WL-CMU-LIGHT-100</x:v>
      </x:c>
      <x:c r="B441" s="46" t="str">
        <x:v>Diğer rijit duvar katmanı</x:v>
      </x:c>
      <x:c r="C441" s="46" t="str">
        <x:v>Hafif agregalı beton blok</x:v>
      </x:c>
      <x:c r="D441" s="46" t="str">
        <x:v>GENERIC</x:v>
      </x:c>
      <x:c r="E441" s="46" t="str">
        <x:v>CMU-LIGHT</x:v>
      </x:c>
      <x:c r="F441" s="70" t="str">
        <x:v>ENGINEERING_DEFAULT</x:v>
      </x:c>
      <x:c r="G441" s="54" t="n">
        <x:v>100</x:v>
      </x:c>
      <x:c r="H441" s="54" t="n">
        <x:v>1400</x:v>
      </x:c>
      <x:c r="I441" s="74" t="n">
        <x:f>IF(OR(G441="",H441=""),"",G441/1000*H441)</x:f>
        <x:v>140</x:v>
      </x:c>
      <x:c r="J441" s="75" t="n">
        <x:v>12</x:v>
      </x:c>
      <x:c r="K441" s="75" t="n">
        <x:v>0.2</x:v>
      </x:c>
      <x:c r="L441" s="75" t="n">
        <x:v>0.02</x:v>
      </x:c>
      <x:c r="M441" s="75" t="n">
        <x:f>IF(OR(J441="",K441=""),"",J441/(2*(1+K441)))</x:f>
        <x:v>5</x:v>
      </x:c>
      <x:c r="N441" s="76" t="n">
        <x:f>IF(OR(J441="",H441="",K441=""),"",SQRT(J441*1000000000*(1-K441)/(H441*(1+K441)*(1-2*K441))))</x:f>
        <x:v>3086.0669992418384</x:v>
      </x:c>
      <x:c r="O441" s="75" t="n">
        <x:f>IF(OR(H441="",N441=""),"",H441*N441/1000000)</x:f>
        <x:v>4.320493798938573</x:v>
      </x:c>
      <x:c r="P441" s="74" t="n">
        <x:f>IF(OR(J441="",G441="",K441=""),"",J441*1000000000*(G441/1000)^3/(12*(1-K441^2)))</x:f>
        <x:v>1041666.666666667</x:v>
      </x:c>
      <x:c r="Q441" s="76" t="n">
        <x:f>IF(OR(I441="",P441=""),"",343.2^2/(2*PI())*SQRT(I441/P441))</x:f>
        <x:v>217.32731993839974</x:v>
      </x:c>
      <x:c r="R441" s="58"/>
      <x:c r="S441" s="62" t="n">
        <x:v>0.7</x:v>
      </x:c>
      <x:c r="T441" s="46" t="str">
        <x:v>20 °C / kuru nominal</x:v>
      </x:c>
      <x:c r="U441" s="46" t="str">
        <x:v>DÜŞÜK-ORTA</x:v>
      </x:c>
      <x:c r="V441" s="46" t="str"/>
      <x:c r="W441" s="50" t="str">
        <x:v>Ortogonal/katmanlı ürünlerde tek izotropik E yaklaşımı sınırlıdır; yön bağımlılığı ve bağlantılar ayrıca modellenmelidir.</x:v>
      </x:c>
    </x:row>
    <x:row r="442">
      <x:c r="A442" s="46" t="str">
        <x:v>WL-CMU-LIGHT-150</x:v>
      </x:c>
      <x:c r="B442" s="46" t="str">
        <x:v>Diğer rijit duvar katmanı</x:v>
      </x:c>
      <x:c r="C442" s="46" t="str">
        <x:v>Hafif agregalı beton blok</x:v>
      </x:c>
      <x:c r="D442" s="46" t="str">
        <x:v>GENERIC</x:v>
      </x:c>
      <x:c r="E442" s="46" t="str">
        <x:v>CMU-LIGHT</x:v>
      </x:c>
      <x:c r="F442" s="70" t="str">
        <x:v>ENGINEERING_DEFAULT</x:v>
      </x:c>
      <x:c r="G442" s="54" t="n">
        <x:v>150</x:v>
      </x:c>
      <x:c r="H442" s="54" t="n">
        <x:v>1400</x:v>
      </x:c>
      <x:c r="I442" s="74" t="n">
        <x:f>IF(OR(G442="",H442=""),"",G442/1000*H442)</x:f>
        <x:v>210</x:v>
      </x:c>
      <x:c r="J442" s="75" t="n">
        <x:v>12</x:v>
      </x:c>
      <x:c r="K442" s="75" t="n">
        <x:v>0.2</x:v>
      </x:c>
      <x:c r="L442" s="75" t="n">
        <x:v>0.02</x:v>
      </x:c>
      <x:c r="M442" s="75" t="n">
        <x:f>IF(OR(J442="",K442=""),"",J442/(2*(1+K442)))</x:f>
        <x:v>5</x:v>
      </x:c>
      <x:c r="N442" s="76" t="n">
        <x:f>IF(OR(J442="",H442="",K442=""),"",SQRT(J442*1000000000*(1-K442)/(H442*(1+K442)*(1-2*K442))))</x:f>
        <x:v>3086.0669992418384</x:v>
      </x:c>
      <x:c r="O442" s="75" t="n">
        <x:f>IF(OR(H442="",N442=""),"",H442*N442/1000000)</x:f>
        <x:v>4.320493798938573</x:v>
      </x:c>
      <x:c r="P442" s="74" t="n">
        <x:f>IF(OR(J442="",G442="",K442=""),"",J442*1000000000*(G442/1000)^3/(12*(1-K442^2)))</x:f>
        <x:v>3515625</x:v>
      </x:c>
      <x:c r="Q442" s="76" t="n">
        <x:f>IF(OR(I442="",P442=""),"",343.2^2/(2*PI())*SQRT(I442/P442))</x:f>
        <x:v>144.88487995893317</x:v>
      </x:c>
      <x:c r="R442" s="58"/>
      <x:c r="S442" s="62" t="n">
        <x:v>0.7</x:v>
      </x:c>
      <x:c r="T442" s="46" t="str">
        <x:v>20 °C / kuru nominal</x:v>
      </x:c>
      <x:c r="U442" s="46" t="str">
        <x:v>DÜŞÜK-ORTA</x:v>
      </x:c>
      <x:c r="V442" s="46" t="str"/>
      <x:c r="W442" s="50" t="str">
        <x:v>Ortogonal/katmanlı ürünlerde tek izotropik E yaklaşımı sınırlıdır; yön bağımlılığı ve bağlantılar ayrıca modellenmelidir.</x:v>
      </x:c>
    </x:row>
    <x:row r="443">
      <x:c r="A443" s="46" t="str">
        <x:v>WL-CMU-LIGHT-190</x:v>
      </x:c>
      <x:c r="B443" s="46" t="str">
        <x:v>Diğer rijit duvar katmanı</x:v>
      </x:c>
      <x:c r="C443" s="46" t="str">
        <x:v>Hafif agregalı beton blok</x:v>
      </x:c>
      <x:c r="D443" s="46" t="str">
        <x:v>GENERIC</x:v>
      </x:c>
      <x:c r="E443" s="46" t="str">
        <x:v>CMU-LIGHT</x:v>
      </x:c>
      <x:c r="F443" s="70" t="str">
        <x:v>ENGINEERING_DEFAULT</x:v>
      </x:c>
      <x:c r="G443" s="54" t="n">
        <x:v>190</x:v>
      </x:c>
      <x:c r="H443" s="54" t="n">
        <x:v>1400</x:v>
      </x:c>
      <x:c r="I443" s="74" t="n">
        <x:f>IF(OR(G443="",H443=""),"",G443/1000*H443)</x:f>
        <x:v>266</x:v>
      </x:c>
      <x:c r="J443" s="75" t="n">
        <x:v>12</x:v>
      </x:c>
      <x:c r="K443" s="75" t="n">
        <x:v>0.2</x:v>
      </x:c>
      <x:c r="L443" s="75" t="n">
        <x:v>0.02</x:v>
      </x:c>
      <x:c r="M443" s="75" t="n">
        <x:f>IF(OR(J443="",K443=""),"",J443/(2*(1+K443)))</x:f>
        <x:v>5</x:v>
      </x:c>
      <x:c r="N443" s="76" t="n">
        <x:f>IF(OR(J443="",H443="",K443=""),"",SQRT(J443*1000000000*(1-K443)/(H443*(1+K443)*(1-2*K443))))</x:f>
        <x:v>3086.0669992418384</x:v>
      </x:c>
      <x:c r="O443" s="75" t="n">
        <x:f>IF(OR(H443="",N443=""),"",H443*N443/1000000)</x:f>
        <x:v>4.320493798938573</x:v>
      </x:c>
      <x:c r="P443" s="74" t="n">
        <x:f>IF(OR(J443="",G443="",K443=""),"",J443*1000000000*(G443/1000)^3/(12*(1-K443^2)))</x:f>
        <x:v>7144791.666666667</x:v>
      </x:c>
      <x:c r="Q443" s="76" t="n">
        <x:f>IF(OR(I443="",P443=""),"",343.2^2/(2*PI())*SQRT(I443/P443))</x:f>
        <x:v>114.38279996757882</x:v>
      </x:c>
      <x:c r="R443" s="58"/>
      <x:c r="S443" s="62" t="n">
        <x:v>0.7</x:v>
      </x:c>
      <x:c r="T443" s="46" t="str">
        <x:v>20 °C / kuru nominal</x:v>
      </x:c>
      <x:c r="U443" s="46" t="str">
        <x:v>DÜŞÜK-ORTA</x:v>
      </x:c>
      <x:c r="V443" s="46" t="str"/>
      <x:c r="W443" s="50" t="str">
        <x:v>Ortogonal/katmanlı ürünlerde tek izotropik E yaklaşımı sınırlıdır; yön bağımlılığı ve bağlantılar ayrıca modellenmelidir.</x:v>
      </x:c>
    </x:row>
    <x:row r="444">
      <x:c r="A444" s="46" t="str">
        <x:v>WL-CMU-LIGHT-200</x:v>
      </x:c>
      <x:c r="B444" s="46" t="str">
        <x:v>Diğer rijit duvar katmanı</x:v>
      </x:c>
      <x:c r="C444" s="46" t="str">
        <x:v>Hafif agregalı beton blok</x:v>
      </x:c>
      <x:c r="D444" s="46" t="str">
        <x:v>GENERIC</x:v>
      </x:c>
      <x:c r="E444" s="46" t="str">
        <x:v>CMU-LIGHT</x:v>
      </x:c>
      <x:c r="F444" s="70" t="str">
        <x:v>ENGINEERING_DEFAULT</x:v>
      </x:c>
      <x:c r="G444" s="54" t="n">
        <x:v>200</x:v>
      </x:c>
      <x:c r="H444" s="54" t="n">
        <x:v>1400</x:v>
      </x:c>
      <x:c r="I444" s="74" t="n">
        <x:f>IF(OR(G444="",H444=""),"",G444/1000*H444)</x:f>
        <x:v>280</x:v>
      </x:c>
      <x:c r="J444" s="75" t="n">
        <x:v>12</x:v>
      </x:c>
      <x:c r="K444" s="75" t="n">
        <x:v>0.2</x:v>
      </x:c>
      <x:c r="L444" s="75" t="n">
        <x:v>0.02</x:v>
      </x:c>
      <x:c r="M444" s="75" t="n">
        <x:f>IF(OR(J444="",K444=""),"",J444/(2*(1+K444)))</x:f>
        <x:v>5</x:v>
      </x:c>
      <x:c r="N444" s="76" t="n">
        <x:f>IF(OR(J444="",H444="",K444=""),"",SQRT(J444*1000000000*(1-K444)/(H444*(1+K444)*(1-2*K444))))</x:f>
        <x:v>3086.0669992418384</x:v>
      </x:c>
      <x:c r="O444" s="75" t="n">
        <x:f>IF(OR(H444="",N444=""),"",H444*N444/1000000)</x:f>
        <x:v>4.320493798938573</x:v>
      </x:c>
      <x:c r="P444" s="74" t="n">
        <x:f>IF(OR(J444="",G444="",K444=""),"",J444*1000000000*(G444/1000)^3/(12*(1-K444^2)))</x:f>
        <x:v>8333333.333333336</x:v>
      </x:c>
      <x:c r="Q444" s="76" t="n">
        <x:f>IF(OR(I444="",P444=""),"",343.2^2/(2*PI())*SQRT(I444/P444))</x:f>
        <x:v>108.66365996919987</x:v>
      </x:c>
      <x:c r="R444" s="58"/>
      <x:c r="S444" s="62" t="n">
        <x:v>0.7</x:v>
      </x:c>
      <x:c r="T444" s="46" t="str">
        <x:v>20 °C / kuru nominal</x:v>
      </x:c>
      <x:c r="U444" s="46" t="str">
        <x:v>DÜŞÜK-ORTA</x:v>
      </x:c>
      <x:c r="V444" s="46" t="str"/>
      <x:c r="W444" s="50" t="str">
        <x:v>Ortogonal/katmanlı ürünlerde tek izotropik E yaklaşımı sınırlıdır; yön bağımlılığı ve bağlantılar ayrıca modellenmelidir.</x:v>
      </x:c>
    </x:row>
    <x:row r="445">
      <x:c r="A445" s="46" t="str">
        <x:v>WL-CMU-LIGHT-250</x:v>
      </x:c>
      <x:c r="B445" s="46" t="str">
        <x:v>Diğer rijit duvar katmanı</x:v>
      </x:c>
      <x:c r="C445" s="46" t="str">
        <x:v>Hafif agregalı beton blok</x:v>
      </x:c>
      <x:c r="D445" s="46" t="str">
        <x:v>GENERIC</x:v>
      </x:c>
      <x:c r="E445" s="46" t="str">
        <x:v>CMU-LIGHT</x:v>
      </x:c>
      <x:c r="F445" s="70" t="str">
        <x:v>ENGINEERING_DEFAULT</x:v>
      </x:c>
      <x:c r="G445" s="54" t="n">
        <x:v>250</x:v>
      </x:c>
      <x:c r="H445" s="54" t="n">
        <x:v>1400</x:v>
      </x:c>
      <x:c r="I445" s="74" t="n">
        <x:f>IF(OR(G445="",H445=""),"",G445/1000*H445)</x:f>
        <x:v>350</x:v>
      </x:c>
      <x:c r="J445" s="75" t="n">
        <x:v>12</x:v>
      </x:c>
      <x:c r="K445" s="75" t="n">
        <x:v>0.2</x:v>
      </x:c>
      <x:c r="L445" s="75" t="n">
        <x:v>0.02</x:v>
      </x:c>
      <x:c r="M445" s="75" t="n">
        <x:f>IF(OR(J445="",K445=""),"",J445/(2*(1+K445)))</x:f>
        <x:v>5</x:v>
      </x:c>
      <x:c r="N445" s="76" t="n">
        <x:f>IF(OR(J445="",H445="",K445=""),"",SQRT(J445*1000000000*(1-K445)/(H445*(1+K445)*(1-2*K445))))</x:f>
        <x:v>3086.0669992418384</x:v>
      </x:c>
      <x:c r="O445" s="75" t="n">
        <x:f>IF(OR(H445="",N445=""),"",H445*N445/1000000)</x:f>
        <x:v>4.320493798938573</x:v>
      </x:c>
      <x:c r="P445" s="74" t="n">
        <x:f>IF(OR(J445="",G445="",K445=""),"",J445*1000000000*(G445/1000)^3/(12*(1-K445^2)))</x:f>
        <x:v>16276041.666666668</x:v>
      </x:c>
      <x:c r="Q445" s="76" t="n">
        <x:f>IF(OR(I445="",P445=""),"",343.2^2/(2*PI())*SQRT(I445/P445))</x:f>
        <x:v>86.93092797535991</x:v>
      </x:c>
      <x:c r="R445" s="58"/>
      <x:c r="S445" s="62" t="n">
        <x:v>0.7</x:v>
      </x:c>
      <x:c r="T445" s="46" t="str">
        <x:v>20 °C / kuru nominal</x:v>
      </x:c>
      <x:c r="U445" s="46" t="str">
        <x:v>DÜŞÜK-ORTA</x:v>
      </x:c>
      <x:c r="V445" s="46" t="str"/>
      <x:c r="W445" s="50" t="str">
        <x:v>Ortogonal/katmanlı ürünlerde tek izotropik E yaklaşımı sınırlıdır; yön bağımlılığı ve bağlantılar ayrıca modellenmelidir.</x:v>
      </x:c>
    </x:row>
    <x:row r="446">
      <x:c r="A446" s="46" t="str">
        <x:v>WL-CMU-NORMAL-100</x:v>
      </x:c>
      <x:c r="B446" s="46" t="str">
        <x:v>Diğer rijit duvar katmanı</x:v>
      </x:c>
      <x:c r="C446" s="46" t="str">
        <x:v>Normal agregalı beton blok</x:v>
      </x:c>
      <x:c r="D446" s="46" t="str">
        <x:v>GENERIC</x:v>
      </x:c>
      <x:c r="E446" s="46" t="str">
        <x:v>CMU-NORMAL</x:v>
      </x:c>
      <x:c r="F446" s="70" t="str">
        <x:v>ENGINEERING_DEFAULT</x:v>
      </x:c>
      <x:c r="G446" s="54" t="n">
        <x:v>100</x:v>
      </x:c>
      <x:c r="H446" s="54" t="n">
        <x:v>1800</x:v>
      </x:c>
      <x:c r="I446" s="74" t="n">
        <x:f>IF(OR(G446="",H446=""),"",G446/1000*H446)</x:f>
        <x:v>180</x:v>
      </x:c>
      <x:c r="J446" s="75" t="n">
        <x:v>20</x:v>
      </x:c>
      <x:c r="K446" s="75" t="n">
        <x:v>0.2</x:v>
      </x:c>
      <x:c r="L446" s="75" t="n">
        <x:v>0.015</x:v>
      </x:c>
      <x:c r="M446" s="75" t="n">
        <x:f>IF(OR(J446="",K446=""),"",J446/(2*(1+K446)))</x:f>
        <x:v>8.333333333333334</x:v>
      </x:c>
      <x:c r="N446" s="76" t="n">
        <x:f>IF(OR(J446="",H446="",K446=""),"",SQRT(J446*1000000000*(1-K446)/(H446*(1+K446)*(1-2*K446))))</x:f>
        <x:v>3513.6418446315324</x:v>
      </x:c>
      <x:c r="O446" s="75" t="n">
        <x:f>IF(OR(H446="",N446=""),"",H446*N446/1000000)</x:f>
        <x:v>6.324555320336758</x:v>
      </x:c>
      <x:c r="P446" s="74" t="n">
        <x:f>IF(OR(J446="",G446="",K446=""),"",J446*1000000000*(G446/1000)^3/(12*(1-K446^2)))</x:f>
        <x:v>1736111.1111111115</x:v>
      </x:c>
      <x:c r="Q446" s="76" t="n">
        <x:f>IF(OR(I446="",P446=""),"",343.2^2/(2*PI())*SQRT(I446/P446))</x:f>
        <x:v>190.88077264343417</x:v>
      </x:c>
      <x:c r="R446" s="58"/>
      <x:c r="S446" s="62" t="n">
        <x:v>1.2</x:v>
      </x:c>
      <x:c r="T446" s="46" t="str">
        <x:v>20 °C / kuru nominal</x:v>
      </x:c>
      <x:c r="U446" s="46" t="str">
        <x:v>DÜŞÜK-ORTA</x:v>
      </x:c>
      <x:c r="V446" s="46" t="str"/>
      <x:c r="W446" s="50" t="str">
        <x:v>Ortogonal/katmanlı ürünlerde tek izotropik E yaklaşımı sınırlıdır; yön bağımlılığı ve bağlantılar ayrıca modellenmelidir.</x:v>
      </x:c>
    </x:row>
    <x:row r="447">
      <x:c r="A447" s="46" t="str">
        <x:v>WL-CMU-NORMAL-150</x:v>
      </x:c>
      <x:c r="B447" s="46" t="str">
        <x:v>Diğer rijit duvar katmanı</x:v>
      </x:c>
      <x:c r="C447" s="46" t="str">
        <x:v>Normal agregalı beton blok</x:v>
      </x:c>
      <x:c r="D447" s="46" t="str">
        <x:v>GENERIC</x:v>
      </x:c>
      <x:c r="E447" s="46" t="str">
        <x:v>CMU-NORMAL</x:v>
      </x:c>
      <x:c r="F447" s="70" t="str">
        <x:v>ENGINEERING_DEFAULT</x:v>
      </x:c>
      <x:c r="G447" s="54" t="n">
        <x:v>150</x:v>
      </x:c>
      <x:c r="H447" s="54" t="n">
        <x:v>1800</x:v>
      </x:c>
      <x:c r="I447" s="74" t="n">
        <x:f>IF(OR(G447="",H447=""),"",G447/1000*H447)</x:f>
        <x:v>270</x:v>
      </x:c>
      <x:c r="J447" s="75" t="n">
        <x:v>20</x:v>
      </x:c>
      <x:c r="K447" s="75" t="n">
        <x:v>0.2</x:v>
      </x:c>
      <x:c r="L447" s="75" t="n">
        <x:v>0.015</x:v>
      </x:c>
      <x:c r="M447" s="75" t="n">
        <x:f>IF(OR(J447="",K447=""),"",J447/(2*(1+K447)))</x:f>
        <x:v>8.333333333333334</x:v>
      </x:c>
      <x:c r="N447" s="76" t="n">
        <x:f>IF(OR(J447="",H447="",K447=""),"",SQRT(J447*1000000000*(1-K447)/(H447*(1+K447)*(1-2*K447))))</x:f>
        <x:v>3513.6418446315324</x:v>
      </x:c>
      <x:c r="O447" s="75" t="n">
        <x:f>IF(OR(H447="",N447=""),"",H447*N447/1000000)</x:f>
        <x:v>6.324555320336758</x:v>
      </x:c>
      <x:c r="P447" s="74" t="n">
        <x:f>IF(OR(J447="",G447="",K447=""),"",J447*1000000000*(G447/1000)^3/(12*(1-K447^2)))</x:f>
        <x:v>5859375</x:v>
      </x:c>
      <x:c r="Q447" s="76" t="n">
        <x:f>IF(OR(I447="",P447=""),"",343.2^2/(2*PI())*SQRT(I447/P447))</x:f>
        <x:v>127.25384842895612</x:v>
      </x:c>
      <x:c r="R447" s="58"/>
      <x:c r="S447" s="62" t="n">
        <x:v>1.2</x:v>
      </x:c>
      <x:c r="T447" s="46" t="str">
        <x:v>20 °C / kuru nominal</x:v>
      </x:c>
      <x:c r="U447" s="46" t="str">
        <x:v>DÜŞÜK-ORTA</x:v>
      </x:c>
      <x:c r="V447" s="46" t="str"/>
      <x:c r="W447" s="50" t="str">
        <x:v>Ortogonal/katmanlı ürünlerde tek izotropik E yaklaşımı sınırlıdır; yön bağımlılığı ve bağlantılar ayrıca modellenmelidir.</x:v>
      </x:c>
    </x:row>
    <x:row r="448">
      <x:c r="A448" s="46" t="str">
        <x:v>WL-CMU-NORMAL-190</x:v>
      </x:c>
      <x:c r="B448" s="46" t="str">
        <x:v>Diğer rijit duvar katmanı</x:v>
      </x:c>
      <x:c r="C448" s="46" t="str">
        <x:v>Normal agregalı beton blok</x:v>
      </x:c>
      <x:c r="D448" s="46" t="str">
        <x:v>GENERIC</x:v>
      </x:c>
      <x:c r="E448" s="46" t="str">
        <x:v>CMU-NORMAL</x:v>
      </x:c>
      <x:c r="F448" s="70" t="str">
        <x:v>ENGINEERING_DEFAULT</x:v>
      </x:c>
      <x:c r="G448" s="54" t="n">
        <x:v>190</x:v>
      </x:c>
      <x:c r="H448" s="54" t="n">
        <x:v>1800</x:v>
      </x:c>
      <x:c r="I448" s="74" t="n">
        <x:f>IF(OR(G448="",H448=""),"",G448/1000*H448)</x:f>
        <x:v>342</x:v>
      </x:c>
      <x:c r="J448" s="75" t="n">
        <x:v>20</x:v>
      </x:c>
      <x:c r="K448" s="75" t="n">
        <x:v>0.2</x:v>
      </x:c>
      <x:c r="L448" s="75" t="n">
        <x:v>0.015</x:v>
      </x:c>
      <x:c r="M448" s="75" t="n">
        <x:f>IF(OR(J448="",K448=""),"",J448/(2*(1+K448)))</x:f>
        <x:v>8.333333333333334</x:v>
      </x:c>
      <x:c r="N448" s="76" t="n">
        <x:f>IF(OR(J448="",H448="",K448=""),"",SQRT(J448*1000000000*(1-K448)/(H448*(1+K448)*(1-2*K448))))</x:f>
        <x:v>3513.6418446315324</x:v>
      </x:c>
      <x:c r="O448" s="75" t="n">
        <x:f>IF(OR(H448="",N448=""),"",H448*N448/1000000)</x:f>
        <x:v>6.324555320336758</x:v>
      </x:c>
      <x:c r="P448" s="74" t="n">
        <x:f>IF(OR(J448="",G448="",K448=""),"",J448*1000000000*(G448/1000)^3/(12*(1-K448^2)))</x:f>
        <x:v>11907986.111111112</x:v>
      </x:c>
      <x:c r="Q448" s="76" t="n">
        <x:f>IF(OR(I448="",P448=""),"",343.2^2/(2*PI())*SQRT(I448/P448))</x:f>
        <x:v>100.46356454917589</x:v>
      </x:c>
      <x:c r="R448" s="58"/>
      <x:c r="S448" s="62" t="n">
        <x:v>1.2</x:v>
      </x:c>
      <x:c r="T448" s="46" t="str">
        <x:v>20 °C / kuru nominal</x:v>
      </x:c>
      <x:c r="U448" s="46" t="str">
        <x:v>DÜŞÜK-ORTA</x:v>
      </x:c>
      <x:c r="V448" s="46" t="str"/>
      <x:c r="W448" s="50" t="str">
        <x:v>Ortogonal/katmanlı ürünlerde tek izotropik E yaklaşımı sınırlıdır; yön bağımlılığı ve bağlantılar ayrıca modellenmelidir.</x:v>
      </x:c>
    </x:row>
    <x:row r="449">
      <x:c r="A449" s="46" t="str">
        <x:v>WL-CMU-NORMAL-200</x:v>
      </x:c>
      <x:c r="B449" s="46" t="str">
        <x:v>Diğer rijit duvar katmanı</x:v>
      </x:c>
      <x:c r="C449" s="46" t="str">
        <x:v>Normal agregalı beton blok</x:v>
      </x:c>
      <x:c r="D449" s="46" t="str">
        <x:v>GENERIC</x:v>
      </x:c>
      <x:c r="E449" s="46" t="str">
        <x:v>CMU-NORMAL</x:v>
      </x:c>
      <x:c r="F449" s="70" t="str">
        <x:v>ENGINEERING_DEFAULT</x:v>
      </x:c>
      <x:c r="G449" s="54" t="n">
        <x:v>200</x:v>
      </x:c>
      <x:c r="H449" s="54" t="n">
        <x:v>1800</x:v>
      </x:c>
      <x:c r="I449" s="74" t="n">
        <x:f>IF(OR(G449="",H449=""),"",G449/1000*H449)</x:f>
        <x:v>360</x:v>
      </x:c>
      <x:c r="J449" s="75" t="n">
        <x:v>20</x:v>
      </x:c>
      <x:c r="K449" s="75" t="n">
        <x:v>0.2</x:v>
      </x:c>
      <x:c r="L449" s="75" t="n">
        <x:v>0.015</x:v>
      </x:c>
      <x:c r="M449" s="75" t="n">
        <x:f>IF(OR(J449="",K449=""),"",J449/(2*(1+K449)))</x:f>
        <x:v>8.333333333333334</x:v>
      </x:c>
      <x:c r="N449" s="76" t="n">
        <x:f>IF(OR(J449="",H449="",K449=""),"",SQRT(J449*1000000000*(1-K449)/(H449*(1+K449)*(1-2*K449))))</x:f>
        <x:v>3513.6418446315324</x:v>
      </x:c>
      <x:c r="O449" s="75" t="n">
        <x:f>IF(OR(H449="",N449=""),"",H449*N449/1000000)</x:f>
        <x:v>6.324555320336758</x:v>
      </x:c>
      <x:c r="P449" s="74" t="n">
        <x:f>IF(OR(J449="",G449="",K449=""),"",J449*1000000000*(G449/1000)^3/(12*(1-K449^2)))</x:f>
        <x:v>13888888.888888892</x:v>
      </x:c>
      <x:c r="Q449" s="76" t="n">
        <x:f>IF(OR(I449="",P449=""),"",343.2^2/(2*PI())*SQRT(I449/P449))</x:f>
        <x:v>95.44038632171709</x:v>
      </x:c>
      <x:c r="R449" s="58"/>
      <x:c r="S449" s="62" t="n">
        <x:v>1.2</x:v>
      </x:c>
      <x:c r="T449" s="46" t="str">
        <x:v>20 °C / kuru nominal</x:v>
      </x:c>
      <x:c r="U449" s="46" t="str">
        <x:v>DÜŞÜK-ORTA</x:v>
      </x:c>
      <x:c r="V449" s="46" t="str"/>
      <x:c r="W449" s="50" t="str">
        <x:v>Ortogonal/katmanlı ürünlerde tek izotropik E yaklaşımı sınırlıdır; yön bağımlılığı ve bağlantılar ayrıca modellenmelidir.</x:v>
      </x:c>
    </x:row>
    <x:row r="450">
      <x:c r="A450" s="47" t="str">
        <x:v>WL-CMU-NORMAL-250</x:v>
      </x:c>
      <x:c r="B450" s="47" t="str">
        <x:v>Diğer rijit duvar katmanı</x:v>
      </x:c>
      <x:c r="C450" s="47" t="str">
        <x:v>Normal agregalı beton blok</x:v>
      </x:c>
      <x:c r="D450" s="47" t="str">
        <x:v>GENERIC</x:v>
      </x:c>
      <x:c r="E450" s="47" t="str">
        <x:v>CMU-NORMAL</x:v>
      </x:c>
      <x:c r="F450" s="71" t="str">
        <x:v>ENGINEERING_DEFAULT</x:v>
      </x:c>
      <x:c r="G450" s="55" t="n">
        <x:v>250</x:v>
      </x:c>
      <x:c r="H450" s="55" t="n">
        <x:v>1800</x:v>
      </x:c>
      <x:c r="I450" s="77" t="n">
        <x:f>IF(OR(G450="",H450=""),"",G450/1000*H450)</x:f>
        <x:v>450</x:v>
      </x:c>
      <x:c r="J450" s="78" t="n">
        <x:v>20</x:v>
      </x:c>
      <x:c r="K450" s="78" t="n">
        <x:v>0.2</x:v>
      </x:c>
      <x:c r="L450" s="78" t="n">
        <x:v>0.015</x:v>
      </x:c>
      <x:c r="M450" s="78" t="n">
        <x:f>IF(OR(J450="",K450=""),"",J450/(2*(1+K450)))</x:f>
        <x:v>8.333333333333334</x:v>
      </x:c>
      <x:c r="N450" s="79" t="n">
        <x:f>IF(OR(J450="",H450="",K450=""),"",SQRT(J450*1000000000*(1-K450)/(H450*(1+K450)*(1-2*K450))))</x:f>
        <x:v>3513.6418446315324</x:v>
      </x:c>
      <x:c r="O450" s="78" t="n">
        <x:f>IF(OR(H450="",N450=""),"",H450*N450/1000000)</x:f>
        <x:v>6.324555320336758</x:v>
      </x:c>
      <x:c r="P450" s="77" t="n">
        <x:f>IF(OR(J450="",G450="",K450=""),"",J450*1000000000*(G450/1000)^3/(12*(1-K450^2)))</x:f>
        <x:v>27126736.111111112</x:v>
      </x:c>
      <x:c r="Q450" s="79" t="n">
        <x:f>IF(OR(I450="",P450=""),"",343.2^2/(2*PI())*SQRT(I450/P450))</x:f>
        <x:v>76.35230905737367</x:v>
      </x:c>
      <x:c r="R450" s="59"/>
      <x:c r="S450" s="63" t="n">
        <x:v>1.2</x:v>
      </x:c>
      <x:c r="T450" s="47" t="str">
        <x:v>20 °C / kuru nominal</x:v>
      </x:c>
      <x:c r="U450" s="47" t="str">
        <x:v>DÜŞÜK-ORTA</x:v>
      </x:c>
      <x:c r="V450" s="47" t="str"/>
      <x:c r="W450" s="51" t="str">
        <x:v>Ortogonal/katmanlı ürünlerde tek izotropik E yaklaşımı sınırlıdır; yön bağımlılığı ve bağlantılar ayrıca modellenmelidir.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499a14391df14a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8" hidden="0" customWidth="1"/>
    <x:col min="4" max="4" width="16" hidden="0" customWidth="1"/>
    <x:col min="5" max="5" width="24" hidden="0" customWidth="1"/>
    <x:col min="6" max="6" width="25" hidden="0" customWidth="1"/>
    <x:col min="7" max="7" width="12" hidden="0" customWidth="1"/>
    <x:col min="8" max="8" width="14" hidden="0" customWidth="1"/>
    <x:col min="9" max="9" width="18" hidden="0" customWidth="1"/>
    <x:col min="10" max="10" width="18" hidden="0" customWidth="1"/>
    <x:col min="11" max="11" width="11" hidden="0" customWidth="1"/>
    <x:col min="12" max="12" width="12" hidden="0" customWidth="1"/>
    <x:col min="13" max="13" width="18" hidden="0" customWidth="1"/>
    <x:col min="14" max="14" width="18" hidden="0" customWidth="1"/>
    <x:col min="15" max="15" width="14" hidden="0" customWidth="1"/>
    <x:col min="16" max="16" width="12" hidden="0" customWidth="1"/>
    <x:col min="17" max="17" width="12" hidden="0" customWidth="1"/>
    <x:col min="18" max="18" width="16" hidden="0" customWidth="1"/>
    <x:col min="19" max="19" width="13" hidden="0" customWidth="1"/>
    <x:col min="20" max="20" width="12" hidden="0" customWidth="1"/>
    <x:col min="21" max="21" width="14" hidden="0" customWidth="1"/>
    <x:col min="22" max="22" width="22" hidden="0" customWidth="1"/>
    <x:col min="23" max="23" width="42" hidden="0" customWidth="1"/>
    <x:col min="24" max="24" width="50" hidden="0" customWidth="1"/>
  </x:cols>
  <x:sheetData>
    <x:row r="1" ht="30" customHeight="1">
      <x:c r="A1" s="5" t="str">
        <x:v>GÖZENEKLİ / ELASTİK DOLGU – JCA/JCAL ve limp-frame başlangıç parametreleri</x:v>
      </x:c>
    </x:row>
    <x:row r="2" ht="34" customHeight="1">
      <x:c r="A2" s="13" t="str">
        <x:v>Akış özdirenci ve mikroyapı parametreleri ürün bazında ölçülmelidir. Bu sayfadaki GENERIC satırlar yalnızca model başlangıç noktasıdır; özellikle σ yoğunluktan tek başına güvenilir belirlenemez.</x:v>
      </x:c>
    </x:row>
    <x:row r="4" ht="42" customHeight="1">
      <x:c r="A4" s="23" t="str">
        <x:v>Absorber_ID</x:v>
      </x:c>
      <x:c r="B4" s="23" t="str">
        <x:v>Ana_Grup</x:v>
      </x:c>
      <x:c r="C4" s="23" t="str">
        <x:v>Alt_Tür</x:v>
      </x:c>
      <x:c r="D4" s="23" t="str">
        <x:v>Üretici</x:v>
      </x:c>
      <x:c r="E4" s="23" t="str">
        <x:v>Ürün / Model</x:v>
      </x:c>
      <x:c r="F4" s="23" t="str">
        <x:v>Veri_Sınıfı</x:v>
      </x:c>
      <x:c r="G4" s="23" t="str">
        <x:v>Kalınlık_d [mm]</x:v>
      </x:c>
      <x:c r="H4" s="23" t="str">
        <x:v>Yoğunluk [kg/m³]</x:v>
      </x:c>
      <x:c r="I4" s="23" t="str">
        <x:v>Akış_Özdirenci_σ [Pa·s/m²]</x:v>
      </x:c>
      <x:c r="J4" s="23" t="str">
        <x:v>Tabaka_Akış_Direnci_rₛ [Pa·s/m]</x:v>
      </x:c>
      <x:c r="K4" s="23" t="str">
        <x:v>Porozite_φ [-]</x:v>
      </x:c>
      <x:c r="L4" s="23" t="str">
        <x:v>Tortuozite_α∞ [-]</x:v>
      </x:c>
      <x:c r="M4" s="23" t="str">
        <x:v>Viskoz_Karakteristik_Uzunluk_Λ [µm]</x:v>
      </x:c>
      <x:c r="N4" s="23" t="str">
        <x:v>Termal_Karakteristik_Uzunluk_Λ' [µm]</x:v>
      </x:c>
      <x:c r="O4" s="23" t="str">
        <x:v>Çerçeve_E [kPa]</x:v>
      </x:c>
      <x:c r="P4" s="23" t="str">
        <x:v>Çerçeve_ν [-]</x:v>
      </x:c>
      <x:c r="Q4" s="23" t="str">
        <x:v>Çerçeve_η [-]</x:v>
      </x:c>
      <x:c r="R4" s="23" t="str">
        <x:v>Dinamik_Rijitlik_s' [MN/m³]</x:v>
      </x:c>
      <x:c r="S4" s="23" t="str">
        <x:v>Akışkan_ρ0 [kg/m³]</x:v>
      </x:c>
      <x:c r="T4" s="23" t="str">
        <x:v>Ses_Hızı_c0 [m/s]</x:v>
      </x:c>
      <x:c r="U4" s="23" t="str">
        <x:v>Z0=ρ0c0 [Pa·s/m]</x:v>
      </x:c>
      <x:c r="V4" s="23" t="str">
        <x:v>Güven_Düzeyi</x:v>
      </x:c>
      <x:c r="W4" s="23" t="str">
        <x:v>Kaynak_URL</x:v>
      </x:c>
      <x:c r="X4" s="23" t="str">
        <x:v>Notlar</x:v>
      </x:c>
    </x:row>
    <x:row r="5">
      <x:c r="A5" s="46" t="str">
        <x:v>AIR-10</x:v>
      </x:c>
      <x:c r="B5" s="46" t="str">
        <x:v>Hava boşluğu</x:v>
      </x:c>
      <x:c r="C5" s="46" t="str">
        <x:v>Durgun kuru hava</x:v>
      </x:c>
      <x:c r="D5" s="46" t="str">
        <x:v>FUNDAMENTAL</x:v>
      </x:c>
      <x:c r="E5" s="46" t="str">
        <x:v>Air 20°C</x:v>
      </x:c>
      <x:c r="F5" s="70" t="str">
        <x:v>PHYSICAL_CONSTANT</x:v>
      </x:c>
      <x:c r="G5" s="54" t="n">
        <x:v>10</x:v>
      </x:c>
      <x:c r="H5" s="54"/>
      <x:c r="I5" s="66"/>
      <x:c r="J5" s="76" t="str">
        <x:f>IF(OR(G5="",I5=""),"",I5*G5/1000)</x:f>
      </x:c>
      <x:c r="K5" s="62" t="n">
        <x:v>1</x:v>
      </x:c>
      <x:c r="L5" s="62" t="n">
        <x:v>1</x:v>
      </x:c>
      <x:c r="M5" s="66"/>
      <x:c r="N5" s="66"/>
      <x:c r="O5" s="54" t="n">
        <x:v>0</x:v>
      </x:c>
      <x:c r="P5" s="62" t="n">
        <x:v>0</x:v>
      </x:c>
      <x:c r="Q5" s="62" t="n">
        <x:v>0</x:v>
      </x:c>
      <x:c r="R5" s="54"/>
      <x:c r="S5" s="62" t="n">
        <x:v>1.204</x:v>
      </x:c>
      <x:c r="T5" s="54" t="n">
        <x:v>343.2</x:v>
      </x:c>
      <x:c r="U5" s="86" t="n">
        <x:f>IF(OR(S5="",T5=""),"",S5*T5)</x:f>
        <x:v>413.21279999999996</x:v>
      </x:c>
      <x:c r="V5" s="46" t="str">
        <x:v>YÜKSEK</x:v>
      </x:c>
      <x:c r="W5" s="46" t="str"/>
      <x:c r="X5" s="50" t="str">
        <x:v>ρ0 ve c0, 20 °C civarı nominal. Kapalı boşlukta termal/viskoz sınır tabakası ve konveksiyon koşula bağlıdır.</x:v>
      </x:c>
    </x:row>
    <x:row r="6">
      <x:c r="A6" s="46" t="str">
        <x:v>AIR-20</x:v>
      </x:c>
      <x:c r="B6" s="46" t="str">
        <x:v>Hava boşluğu</x:v>
      </x:c>
      <x:c r="C6" s="46" t="str">
        <x:v>Durgun kuru hava</x:v>
      </x:c>
      <x:c r="D6" s="46" t="str">
        <x:v>FUNDAMENTAL</x:v>
      </x:c>
      <x:c r="E6" s="46" t="str">
        <x:v>Air 20°C</x:v>
      </x:c>
      <x:c r="F6" s="70" t="str">
        <x:v>PHYSICAL_CONSTANT</x:v>
      </x:c>
      <x:c r="G6" s="54" t="n">
        <x:v>20</x:v>
      </x:c>
      <x:c r="H6" s="54"/>
      <x:c r="I6" s="66"/>
      <x:c r="J6" s="76" t="str">
        <x:f>IF(OR(G6="",I6=""),"",I6*G6/1000)</x:f>
      </x:c>
      <x:c r="K6" s="62" t="n">
        <x:v>1</x:v>
      </x:c>
      <x:c r="L6" s="62" t="n">
        <x:v>1</x:v>
      </x:c>
      <x:c r="M6" s="66"/>
      <x:c r="N6" s="66"/>
      <x:c r="O6" s="54" t="n">
        <x:v>0</x:v>
      </x:c>
      <x:c r="P6" s="62" t="n">
        <x:v>0</x:v>
      </x:c>
      <x:c r="Q6" s="62" t="n">
        <x:v>0</x:v>
      </x:c>
      <x:c r="R6" s="54"/>
      <x:c r="S6" s="62" t="n">
        <x:v>1.204</x:v>
      </x:c>
      <x:c r="T6" s="54" t="n">
        <x:v>343.2</x:v>
      </x:c>
      <x:c r="U6" s="86" t="n">
        <x:f>IF(OR(S6="",T6=""),"",S6*T6)</x:f>
        <x:v>413.21279999999996</x:v>
      </x:c>
      <x:c r="V6" s="46" t="str">
        <x:v>YÜKSEK</x:v>
      </x:c>
      <x:c r="W6" s="46" t="str"/>
      <x:c r="X6" s="50" t="str">
        <x:v>ρ0 ve c0, 20 °C civarı nominal. Kapalı boşlukta termal/viskoz sınır tabakası ve konveksiyon koşula bağlıdır.</x:v>
      </x:c>
    </x:row>
    <x:row r="7">
      <x:c r="A7" s="46" t="str">
        <x:v>AIR-25</x:v>
      </x:c>
      <x:c r="B7" s="46" t="str">
        <x:v>Hava boşluğu</x:v>
      </x:c>
      <x:c r="C7" s="46" t="str">
        <x:v>Durgun kuru hava</x:v>
      </x:c>
      <x:c r="D7" s="46" t="str">
        <x:v>FUNDAMENTAL</x:v>
      </x:c>
      <x:c r="E7" s="46" t="str">
        <x:v>Air 20°C</x:v>
      </x:c>
      <x:c r="F7" s="70" t="str">
        <x:v>PHYSICAL_CONSTANT</x:v>
      </x:c>
      <x:c r="G7" s="54" t="n">
        <x:v>25</x:v>
      </x:c>
      <x:c r="H7" s="54"/>
      <x:c r="I7" s="66"/>
      <x:c r="J7" s="76" t="str">
        <x:f>IF(OR(G7="",I7=""),"",I7*G7/1000)</x:f>
      </x:c>
      <x:c r="K7" s="62" t="n">
        <x:v>1</x:v>
      </x:c>
      <x:c r="L7" s="62" t="n">
        <x:v>1</x:v>
      </x:c>
      <x:c r="M7" s="66"/>
      <x:c r="N7" s="66"/>
      <x:c r="O7" s="54" t="n">
        <x:v>0</x:v>
      </x:c>
      <x:c r="P7" s="62" t="n">
        <x:v>0</x:v>
      </x:c>
      <x:c r="Q7" s="62" t="n">
        <x:v>0</x:v>
      </x:c>
      <x:c r="R7" s="54"/>
      <x:c r="S7" s="62" t="n">
        <x:v>1.204</x:v>
      </x:c>
      <x:c r="T7" s="54" t="n">
        <x:v>343.2</x:v>
      </x:c>
      <x:c r="U7" s="86" t="n">
        <x:f>IF(OR(S7="",T7=""),"",S7*T7)</x:f>
        <x:v>413.21279999999996</x:v>
      </x:c>
      <x:c r="V7" s="46" t="str">
        <x:v>YÜKSEK</x:v>
      </x:c>
      <x:c r="W7" s="46" t="str"/>
      <x:c r="X7" s="50" t="str">
        <x:v>ρ0 ve c0, 20 °C civarı nominal. Kapalı boşlukta termal/viskoz sınır tabakası ve konveksiyon koşula bağlıdır.</x:v>
      </x:c>
    </x:row>
    <x:row r="8">
      <x:c r="A8" s="46" t="str">
        <x:v>AIR-40</x:v>
      </x:c>
      <x:c r="B8" s="46" t="str">
        <x:v>Hava boşluğu</x:v>
      </x:c>
      <x:c r="C8" s="46" t="str">
        <x:v>Durgun kuru hava</x:v>
      </x:c>
      <x:c r="D8" s="46" t="str">
        <x:v>FUNDAMENTAL</x:v>
      </x:c>
      <x:c r="E8" s="46" t="str">
        <x:v>Air 20°C</x:v>
      </x:c>
      <x:c r="F8" s="70" t="str">
        <x:v>PHYSICAL_CONSTANT</x:v>
      </x:c>
      <x:c r="G8" s="54" t="n">
        <x:v>40</x:v>
      </x:c>
      <x:c r="H8" s="54"/>
      <x:c r="I8" s="66"/>
      <x:c r="J8" s="76" t="str">
        <x:f>IF(OR(G8="",I8=""),"",I8*G8/1000)</x:f>
      </x:c>
      <x:c r="K8" s="62" t="n">
        <x:v>1</x:v>
      </x:c>
      <x:c r="L8" s="62" t="n">
        <x:v>1</x:v>
      </x:c>
      <x:c r="M8" s="66"/>
      <x:c r="N8" s="66"/>
      <x:c r="O8" s="54" t="n">
        <x:v>0</x:v>
      </x:c>
      <x:c r="P8" s="62" t="n">
        <x:v>0</x:v>
      </x:c>
      <x:c r="Q8" s="62" t="n">
        <x:v>0</x:v>
      </x:c>
      <x:c r="R8" s="54"/>
      <x:c r="S8" s="62" t="n">
        <x:v>1.204</x:v>
      </x:c>
      <x:c r="T8" s="54" t="n">
        <x:v>343.2</x:v>
      </x:c>
      <x:c r="U8" s="86" t="n">
        <x:f>IF(OR(S8="",T8=""),"",S8*T8)</x:f>
        <x:v>413.21279999999996</x:v>
      </x:c>
      <x:c r="V8" s="46" t="str">
        <x:v>YÜKSEK</x:v>
      </x:c>
      <x:c r="W8" s="46" t="str"/>
      <x:c r="X8" s="50" t="str">
        <x:v>ρ0 ve c0, 20 °C civarı nominal. Kapalı boşlukta termal/viskoz sınır tabakası ve konveksiyon koşula bağlıdır.</x:v>
      </x:c>
    </x:row>
    <x:row r="9">
      <x:c r="A9" s="46" t="str">
        <x:v>AIR-50</x:v>
      </x:c>
      <x:c r="B9" s="46" t="str">
        <x:v>Hava boşluğu</x:v>
      </x:c>
      <x:c r="C9" s="46" t="str">
        <x:v>Durgun kuru hava</x:v>
      </x:c>
      <x:c r="D9" s="46" t="str">
        <x:v>FUNDAMENTAL</x:v>
      </x:c>
      <x:c r="E9" s="46" t="str">
        <x:v>Air 20°C</x:v>
      </x:c>
      <x:c r="F9" s="70" t="str">
        <x:v>PHYSICAL_CONSTANT</x:v>
      </x:c>
      <x:c r="G9" s="54" t="n">
        <x:v>50</x:v>
      </x:c>
      <x:c r="H9" s="54"/>
      <x:c r="I9" s="66"/>
      <x:c r="J9" s="76" t="str">
        <x:f>IF(OR(G9="",I9=""),"",I9*G9/1000)</x:f>
      </x:c>
      <x:c r="K9" s="62" t="n">
        <x:v>1</x:v>
      </x:c>
      <x:c r="L9" s="62" t="n">
        <x:v>1</x:v>
      </x:c>
      <x:c r="M9" s="66"/>
      <x:c r="N9" s="66"/>
      <x:c r="O9" s="54" t="n">
        <x:v>0</x:v>
      </x:c>
      <x:c r="P9" s="62" t="n">
        <x:v>0</x:v>
      </x:c>
      <x:c r="Q9" s="62" t="n">
        <x:v>0</x:v>
      </x:c>
      <x:c r="R9" s="54"/>
      <x:c r="S9" s="62" t="n">
        <x:v>1.204</x:v>
      </x:c>
      <x:c r="T9" s="54" t="n">
        <x:v>343.2</x:v>
      </x:c>
      <x:c r="U9" s="86" t="n">
        <x:f>IF(OR(S9="",T9=""),"",S9*T9)</x:f>
        <x:v>413.21279999999996</x:v>
      </x:c>
      <x:c r="V9" s="46" t="str">
        <x:v>YÜKSEK</x:v>
      </x:c>
      <x:c r="W9" s="46" t="str"/>
      <x:c r="X9" s="50" t="str">
        <x:v>ρ0 ve c0, 20 °C civarı nominal. Kapalı boşlukta termal/viskoz sınır tabakası ve konveksiyon koşula bağlıdır.</x:v>
      </x:c>
    </x:row>
    <x:row r="10">
      <x:c r="A10" s="46" t="str">
        <x:v>AIR-60</x:v>
      </x:c>
      <x:c r="B10" s="46" t="str">
        <x:v>Hava boşluğu</x:v>
      </x:c>
      <x:c r="C10" s="46" t="str">
        <x:v>Durgun kuru hava</x:v>
      </x:c>
      <x:c r="D10" s="46" t="str">
        <x:v>FUNDAMENTAL</x:v>
      </x:c>
      <x:c r="E10" s="46" t="str">
        <x:v>Air 20°C</x:v>
      </x:c>
      <x:c r="F10" s="70" t="str">
        <x:v>PHYSICAL_CONSTANT</x:v>
      </x:c>
      <x:c r="G10" s="54" t="n">
        <x:v>60</x:v>
      </x:c>
      <x:c r="H10" s="54"/>
      <x:c r="I10" s="66"/>
      <x:c r="J10" s="76" t="str">
        <x:f>IF(OR(G10="",I10=""),"",I10*G10/1000)</x:f>
      </x:c>
      <x:c r="K10" s="62" t="n">
        <x:v>1</x:v>
      </x:c>
      <x:c r="L10" s="62" t="n">
        <x:v>1</x:v>
      </x:c>
      <x:c r="M10" s="66"/>
      <x:c r="N10" s="66"/>
      <x:c r="O10" s="54" t="n">
        <x:v>0</x:v>
      </x:c>
      <x:c r="P10" s="62" t="n">
        <x:v>0</x:v>
      </x:c>
      <x:c r="Q10" s="62" t="n">
        <x:v>0</x:v>
      </x:c>
      <x:c r="R10" s="54"/>
      <x:c r="S10" s="62" t="n">
        <x:v>1.204</x:v>
      </x:c>
      <x:c r="T10" s="54" t="n">
        <x:v>343.2</x:v>
      </x:c>
      <x:c r="U10" s="86" t="n">
        <x:f>IF(OR(S10="",T10=""),"",S10*T10)</x:f>
        <x:v>413.21279999999996</x:v>
      </x:c>
      <x:c r="V10" s="46" t="str">
        <x:v>YÜKSEK</x:v>
      </x:c>
      <x:c r="W10" s="46" t="str"/>
      <x:c r="X10" s="50" t="str">
        <x:v>ρ0 ve c0, 20 °C civarı nominal. Kapalı boşlukta termal/viskoz sınır tabakası ve konveksiyon koşula bağlıdır.</x:v>
      </x:c>
    </x:row>
    <x:row r="11">
      <x:c r="A11" s="46" t="str">
        <x:v>AIR-75</x:v>
      </x:c>
      <x:c r="B11" s="46" t="str">
        <x:v>Hava boşluğu</x:v>
      </x:c>
      <x:c r="C11" s="46" t="str">
        <x:v>Durgun kuru hava</x:v>
      </x:c>
      <x:c r="D11" s="46" t="str">
        <x:v>FUNDAMENTAL</x:v>
      </x:c>
      <x:c r="E11" s="46" t="str">
        <x:v>Air 20°C</x:v>
      </x:c>
      <x:c r="F11" s="70" t="str">
        <x:v>PHYSICAL_CONSTANT</x:v>
      </x:c>
      <x:c r="G11" s="54" t="n">
        <x:v>75</x:v>
      </x:c>
      <x:c r="H11" s="54"/>
      <x:c r="I11" s="66"/>
      <x:c r="J11" s="76" t="str">
        <x:f>IF(OR(G11="",I11=""),"",I11*G11/1000)</x:f>
      </x:c>
      <x:c r="K11" s="62" t="n">
        <x:v>1</x:v>
      </x:c>
      <x:c r="L11" s="62" t="n">
        <x:v>1</x:v>
      </x:c>
      <x:c r="M11" s="66"/>
      <x:c r="N11" s="66"/>
      <x:c r="O11" s="54" t="n">
        <x:v>0</x:v>
      </x:c>
      <x:c r="P11" s="62" t="n">
        <x:v>0</x:v>
      </x:c>
      <x:c r="Q11" s="62" t="n">
        <x:v>0</x:v>
      </x:c>
      <x:c r="R11" s="54"/>
      <x:c r="S11" s="62" t="n">
        <x:v>1.204</x:v>
      </x:c>
      <x:c r="T11" s="54" t="n">
        <x:v>343.2</x:v>
      </x:c>
      <x:c r="U11" s="86" t="n">
        <x:f>IF(OR(S11="",T11=""),"",S11*T11)</x:f>
        <x:v>413.21279999999996</x:v>
      </x:c>
      <x:c r="V11" s="46" t="str">
        <x:v>YÜKSEK</x:v>
      </x:c>
      <x:c r="W11" s="46" t="str"/>
      <x:c r="X11" s="50" t="str">
        <x:v>ρ0 ve c0, 20 °C civarı nominal. Kapalı boşlukta termal/viskoz sınır tabakası ve konveksiyon koşula bağlıdır.</x:v>
      </x:c>
    </x:row>
    <x:row r="12">
      <x:c r="A12" s="46" t="str">
        <x:v>AIR-100</x:v>
      </x:c>
      <x:c r="B12" s="46" t="str">
        <x:v>Hava boşluğu</x:v>
      </x:c>
      <x:c r="C12" s="46" t="str">
        <x:v>Durgun kuru hava</x:v>
      </x:c>
      <x:c r="D12" s="46" t="str">
        <x:v>FUNDAMENTAL</x:v>
      </x:c>
      <x:c r="E12" s="46" t="str">
        <x:v>Air 20°C</x:v>
      </x:c>
      <x:c r="F12" s="70" t="str">
        <x:v>PHYSICAL_CONSTANT</x:v>
      </x:c>
      <x:c r="G12" s="54" t="n">
        <x:v>100</x:v>
      </x:c>
      <x:c r="H12" s="54"/>
      <x:c r="I12" s="66"/>
      <x:c r="J12" s="76" t="str">
        <x:f>IF(OR(G12="",I12=""),"",I12*G12/1000)</x:f>
      </x:c>
      <x:c r="K12" s="62" t="n">
        <x:v>1</x:v>
      </x:c>
      <x:c r="L12" s="62" t="n">
        <x:v>1</x:v>
      </x:c>
      <x:c r="M12" s="66"/>
      <x:c r="N12" s="66"/>
      <x:c r="O12" s="54" t="n">
        <x:v>0</x:v>
      </x:c>
      <x:c r="P12" s="62" t="n">
        <x:v>0</x:v>
      </x:c>
      <x:c r="Q12" s="62" t="n">
        <x:v>0</x:v>
      </x:c>
      <x:c r="R12" s="54"/>
      <x:c r="S12" s="62" t="n">
        <x:v>1.204</x:v>
      </x:c>
      <x:c r="T12" s="54" t="n">
        <x:v>343.2</x:v>
      </x:c>
      <x:c r="U12" s="86" t="n">
        <x:f>IF(OR(S12="",T12=""),"",S12*T12)</x:f>
        <x:v>413.21279999999996</x:v>
      </x:c>
      <x:c r="V12" s="46" t="str">
        <x:v>YÜKSEK</x:v>
      </x:c>
      <x:c r="W12" s="46" t="str"/>
      <x:c r="X12" s="50" t="str">
        <x:v>ρ0 ve c0, 20 °C civarı nominal. Kapalı boşlukta termal/viskoz sınır tabakası ve konveksiyon koşula bağlıdır.</x:v>
      </x:c>
    </x:row>
    <x:row r="13">
      <x:c r="A13" s="46" t="str">
        <x:v>AIR-120</x:v>
      </x:c>
      <x:c r="B13" s="46" t="str">
        <x:v>Hava boşluğu</x:v>
      </x:c>
      <x:c r="C13" s="46" t="str">
        <x:v>Durgun kuru hava</x:v>
      </x:c>
      <x:c r="D13" s="46" t="str">
        <x:v>FUNDAMENTAL</x:v>
      </x:c>
      <x:c r="E13" s="46" t="str">
        <x:v>Air 20°C</x:v>
      </x:c>
      <x:c r="F13" s="70" t="str">
        <x:v>PHYSICAL_CONSTANT</x:v>
      </x:c>
      <x:c r="G13" s="54" t="n">
        <x:v>120</x:v>
      </x:c>
      <x:c r="H13" s="54"/>
      <x:c r="I13" s="66"/>
      <x:c r="J13" s="76" t="str">
        <x:f>IF(OR(G13="",I13=""),"",I13*G13/1000)</x:f>
      </x:c>
      <x:c r="K13" s="62" t="n">
        <x:v>1</x:v>
      </x:c>
      <x:c r="L13" s="62" t="n">
        <x:v>1</x:v>
      </x:c>
      <x:c r="M13" s="66"/>
      <x:c r="N13" s="66"/>
      <x:c r="O13" s="54" t="n">
        <x:v>0</x:v>
      </x:c>
      <x:c r="P13" s="62" t="n">
        <x:v>0</x:v>
      </x:c>
      <x:c r="Q13" s="62" t="n">
        <x:v>0</x:v>
      </x:c>
      <x:c r="R13" s="54"/>
      <x:c r="S13" s="62" t="n">
        <x:v>1.204</x:v>
      </x:c>
      <x:c r="T13" s="54" t="n">
        <x:v>343.2</x:v>
      </x:c>
      <x:c r="U13" s="86" t="n">
        <x:f>IF(OR(S13="",T13=""),"",S13*T13)</x:f>
        <x:v>413.21279999999996</x:v>
      </x:c>
      <x:c r="V13" s="46" t="str">
        <x:v>YÜKSEK</x:v>
      </x:c>
      <x:c r="W13" s="46" t="str"/>
      <x:c r="X13" s="50" t="str">
        <x:v>ρ0 ve c0, 20 °C civarı nominal. Kapalı boşlukta termal/viskoz sınır tabakası ve konveksiyon koşula bağlıdır.</x:v>
      </x:c>
    </x:row>
    <x:row r="14">
      <x:c r="A14" s="46" t="str">
        <x:v>AIR-150</x:v>
      </x:c>
      <x:c r="B14" s="46" t="str">
        <x:v>Hava boşluğu</x:v>
      </x:c>
      <x:c r="C14" s="46" t="str">
        <x:v>Durgun kuru hava</x:v>
      </x:c>
      <x:c r="D14" s="46" t="str">
        <x:v>FUNDAMENTAL</x:v>
      </x:c>
      <x:c r="E14" s="46" t="str">
        <x:v>Air 20°C</x:v>
      </x:c>
      <x:c r="F14" s="70" t="str">
        <x:v>PHYSICAL_CONSTANT</x:v>
      </x:c>
      <x:c r="G14" s="54" t="n">
        <x:v>150</x:v>
      </x:c>
      <x:c r="H14" s="54"/>
      <x:c r="I14" s="66"/>
      <x:c r="J14" s="76" t="str">
        <x:f>IF(OR(G14="",I14=""),"",I14*G14/1000)</x:f>
      </x:c>
      <x:c r="K14" s="62" t="n">
        <x:v>1</x:v>
      </x:c>
      <x:c r="L14" s="62" t="n">
        <x:v>1</x:v>
      </x:c>
      <x:c r="M14" s="66"/>
      <x:c r="N14" s="66"/>
      <x:c r="O14" s="54" t="n">
        <x:v>0</x:v>
      </x:c>
      <x:c r="P14" s="62" t="n">
        <x:v>0</x:v>
      </x:c>
      <x:c r="Q14" s="62" t="n">
        <x:v>0</x:v>
      </x:c>
      <x:c r="R14" s="54"/>
      <x:c r="S14" s="62" t="n">
        <x:v>1.204</x:v>
      </x:c>
      <x:c r="T14" s="54" t="n">
        <x:v>343.2</x:v>
      </x:c>
      <x:c r="U14" s="86" t="n">
        <x:f>IF(OR(S14="",T14=""),"",S14*T14)</x:f>
        <x:v>413.21279999999996</x:v>
      </x:c>
      <x:c r="V14" s="46" t="str">
        <x:v>YÜKSEK</x:v>
      </x:c>
      <x:c r="W14" s="46" t="str"/>
      <x:c r="X14" s="50" t="str">
        <x:v>ρ0 ve c0, 20 °C civarı nominal. Kapalı boşlukta termal/viskoz sınır tabakası ve konveksiyon koşula bağlıdır.</x:v>
      </x:c>
    </x:row>
    <x:row r="15">
      <x:c r="A15" s="46" t="str">
        <x:v>AIR-200</x:v>
      </x:c>
      <x:c r="B15" s="46" t="str">
        <x:v>Hava boşluğu</x:v>
      </x:c>
      <x:c r="C15" s="46" t="str">
        <x:v>Durgun kuru hava</x:v>
      </x:c>
      <x:c r="D15" s="46" t="str">
        <x:v>FUNDAMENTAL</x:v>
      </x:c>
      <x:c r="E15" s="46" t="str">
        <x:v>Air 20°C</x:v>
      </x:c>
      <x:c r="F15" s="70" t="str">
        <x:v>PHYSICAL_CONSTANT</x:v>
      </x:c>
      <x:c r="G15" s="54" t="n">
        <x:v>200</x:v>
      </x:c>
      <x:c r="H15" s="54"/>
      <x:c r="I15" s="66"/>
      <x:c r="J15" s="76" t="str">
        <x:f>IF(OR(G15="",I15=""),"",I15*G15/1000)</x:f>
      </x:c>
      <x:c r="K15" s="62" t="n">
        <x:v>1</x:v>
      </x:c>
      <x:c r="L15" s="62" t="n">
        <x:v>1</x:v>
      </x:c>
      <x:c r="M15" s="66"/>
      <x:c r="N15" s="66"/>
      <x:c r="O15" s="54" t="n">
        <x:v>0</x:v>
      </x:c>
      <x:c r="P15" s="62" t="n">
        <x:v>0</x:v>
      </x:c>
      <x:c r="Q15" s="62" t="n">
        <x:v>0</x:v>
      </x:c>
      <x:c r="R15" s="54"/>
      <x:c r="S15" s="62" t="n">
        <x:v>1.204</x:v>
      </x:c>
      <x:c r="T15" s="54" t="n">
        <x:v>343.2</x:v>
      </x:c>
      <x:c r="U15" s="86" t="n">
        <x:f>IF(OR(S15="",T15=""),"",S15*T15)</x:f>
        <x:v>413.21279999999996</x:v>
      </x:c>
      <x:c r="V15" s="46" t="str">
        <x:v>YÜKSEK</x:v>
      </x:c>
      <x:c r="W15" s="46" t="str"/>
      <x:c r="X15" s="50" t="str">
        <x:v>ρ0 ve c0, 20 °C civarı nominal. Kapalı boşlukta termal/viskoz sınır tabakası ve konveksiyon koşula bağlıdır.</x:v>
      </x:c>
    </x:row>
    <x:row r="16">
      <x:c r="A16" s="46" t="str">
        <x:v>AIR-300</x:v>
      </x:c>
      <x:c r="B16" s="46" t="str">
        <x:v>Hava boşluğu</x:v>
      </x:c>
      <x:c r="C16" s="46" t="str">
        <x:v>Durgun kuru hava</x:v>
      </x:c>
      <x:c r="D16" s="46" t="str">
        <x:v>FUNDAMENTAL</x:v>
      </x:c>
      <x:c r="E16" s="46" t="str">
        <x:v>Air 20°C</x:v>
      </x:c>
      <x:c r="F16" s="70" t="str">
        <x:v>PHYSICAL_CONSTANT</x:v>
      </x:c>
      <x:c r="G16" s="54" t="n">
        <x:v>300</x:v>
      </x:c>
      <x:c r="H16" s="54"/>
      <x:c r="I16" s="66"/>
      <x:c r="J16" s="76" t="str">
        <x:f>IF(OR(G16="",I16=""),"",I16*G16/1000)</x:f>
      </x:c>
      <x:c r="K16" s="62" t="n">
        <x:v>1</x:v>
      </x:c>
      <x:c r="L16" s="62" t="n">
        <x:v>1</x:v>
      </x:c>
      <x:c r="M16" s="66"/>
      <x:c r="N16" s="66"/>
      <x:c r="O16" s="54" t="n">
        <x:v>0</x:v>
      </x:c>
      <x:c r="P16" s="62" t="n">
        <x:v>0</x:v>
      </x:c>
      <x:c r="Q16" s="62" t="n">
        <x:v>0</x:v>
      </x:c>
      <x:c r="R16" s="54"/>
      <x:c r="S16" s="62" t="n">
        <x:v>1.204</x:v>
      </x:c>
      <x:c r="T16" s="54" t="n">
        <x:v>343.2</x:v>
      </x:c>
      <x:c r="U16" s="86" t="n">
        <x:f>IF(OR(S16="",T16=""),"",S16*T16)</x:f>
        <x:v>413.21279999999996</x:v>
      </x:c>
      <x:c r="V16" s="46" t="str">
        <x:v>YÜKSEK</x:v>
      </x:c>
      <x:c r="W16" s="46" t="str"/>
      <x:c r="X16" s="50" t="str">
        <x:v>ρ0 ve c0, 20 °C civarı nominal. Kapalı boşlukta termal/viskoz sınır tabakası ve konveksiyon koşula bağlıdır.</x:v>
      </x:c>
    </x:row>
    <x:row r="17">
      <x:c r="A17" s="46" t="str">
        <x:v>MW-STONE-D20-T25</x:v>
      </x:c>
      <x:c r="B17" s="46" t="str">
        <x:v>Mineral yün</x:v>
      </x:c>
      <x:c r="C17" s="46" t="str">
        <x:v>Taş yünü – genel</x:v>
      </x:c>
      <x:c r="D17" s="46" t="str">
        <x:v>GENERIC</x:v>
      </x:c>
      <x:c r="E17" s="46" t="str">
        <x:v>Stone wool 20 kg/m³</x:v>
      </x:c>
      <x:c r="F17" s="70" t="str">
        <x:v>JCA_STARTING_ESTIMATE</x:v>
      </x:c>
      <x:c r="G17" s="54" t="n">
        <x:v>25</x:v>
      </x:c>
      <x:c r="H17" s="54" t="n">
        <x:v>20</x:v>
      </x:c>
      <x:c r="I17" s="66" t="n">
        <x:v>5000</x:v>
      </x:c>
      <x:c r="J17" s="76" t="n">
        <x:f>IF(OR(G17="",I17=""),"",I17*G17/1000)</x:f>
        <x:v>125</x:v>
      </x:c>
      <x:c r="K17" s="62" t="n">
        <x:v>0.99</x:v>
      </x:c>
      <x:c r="L17" s="62" t="n">
        <x:v>1.03</x:v>
      </x:c>
      <x:c r="M17" s="66" t="n">
        <x:v>180</x:v>
      </x:c>
      <x:c r="N17" s="66" t="n">
        <x:v>360</x:v>
      </x:c>
      <x:c r="O17" s="54" t="n">
        <x:v>20</x:v>
      </x:c>
      <x:c r="P17" s="62" t="n">
        <x:v>0.1</x:v>
      </x:c>
      <x:c r="Q17" s="62" t="n">
        <x:v>0.2</x:v>
      </x:c>
      <x:c r="R17" s="54"/>
      <x:c r="S17" s="62" t="n">
        <x:v>1.204</x:v>
      </x:c>
      <x:c r="T17" s="54" t="n">
        <x:v>343.2</x:v>
      </x:c>
      <x:c r="U17" s="86" t="n">
        <x:f>IF(OR(S17="",T17=""),"",S17*T17)</x:f>
        <x:v>413.21279999999996</x:v>
      </x:c>
      <x:c r="V17" s="46" t="str">
        <x:v>DÜŞÜK</x:v>
      </x:c>
      <x:c r="W17" s="46" t="str"/>
      <x:c r="X17" s="50" t="str">
        <x:v>σ, φ, α∞, Λ ve Λ' JCA/JCAL başlangıç tahminidir; empedans tüpü/akış direnci ölçümüyle kalibre edilmelidir. Çerçeve limp/elastic seçimi önemlidir.</x:v>
      </x:c>
    </x:row>
    <x:row r="18">
      <x:c r="A18" s="46" t="str">
        <x:v>MW-STONE-D20-T40</x:v>
      </x:c>
      <x:c r="B18" s="46" t="str">
        <x:v>Mineral yün</x:v>
      </x:c>
      <x:c r="C18" s="46" t="str">
        <x:v>Taş yünü – genel</x:v>
      </x:c>
      <x:c r="D18" s="46" t="str">
        <x:v>GENERIC</x:v>
      </x:c>
      <x:c r="E18" s="46" t="str">
        <x:v>Stone wool 20 kg/m³</x:v>
      </x:c>
      <x:c r="F18" s="70" t="str">
        <x:v>JCA_STARTING_ESTIMATE</x:v>
      </x:c>
      <x:c r="G18" s="54" t="n">
        <x:v>40</x:v>
      </x:c>
      <x:c r="H18" s="54" t="n">
        <x:v>20</x:v>
      </x:c>
      <x:c r="I18" s="66" t="n">
        <x:v>5000</x:v>
      </x:c>
      <x:c r="J18" s="76" t="n">
        <x:f>IF(OR(G18="",I18=""),"",I18*G18/1000)</x:f>
        <x:v>200</x:v>
      </x:c>
      <x:c r="K18" s="62" t="n">
        <x:v>0.99</x:v>
      </x:c>
      <x:c r="L18" s="62" t="n">
        <x:v>1.03</x:v>
      </x:c>
      <x:c r="M18" s="66" t="n">
        <x:v>180</x:v>
      </x:c>
      <x:c r="N18" s="66" t="n">
        <x:v>360</x:v>
      </x:c>
      <x:c r="O18" s="54" t="n">
        <x:v>20</x:v>
      </x:c>
      <x:c r="P18" s="62" t="n">
        <x:v>0.1</x:v>
      </x:c>
      <x:c r="Q18" s="62" t="n">
        <x:v>0.2</x:v>
      </x:c>
      <x:c r="R18" s="54"/>
      <x:c r="S18" s="62" t="n">
        <x:v>1.204</x:v>
      </x:c>
      <x:c r="T18" s="54" t="n">
        <x:v>343.2</x:v>
      </x:c>
      <x:c r="U18" s="86" t="n">
        <x:f>IF(OR(S18="",T18=""),"",S18*T18)</x:f>
        <x:v>413.21279999999996</x:v>
      </x:c>
      <x:c r="V18" s="46" t="str">
        <x:v>DÜŞÜK</x:v>
      </x:c>
      <x:c r="W18" s="46" t="str"/>
      <x:c r="X18" s="50" t="str">
        <x:v>σ, φ, α∞, Λ ve Λ' JCA/JCAL başlangıç tahminidir; empedans tüpü/akış direnci ölçümüyle kalibre edilmelidir. Çerçeve limp/elastic seçimi önemlidir.</x:v>
      </x:c>
    </x:row>
    <x:row r="19">
      <x:c r="A19" s="46" t="str">
        <x:v>MW-STONE-D20-T50</x:v>
      </x:c>
      <x:c r="B19" s="46" t="str">
        <x:v>Mineral yün</x:v>
      </x:c>
      <x:c r="C19" s="46" t="str">
        <x:v>Taş yünü – genel</x:v>
      </x:c>
      <x:c r="D19" s="46" t="str">
        <x:v>GENERIC</x:v>
      </x:c>
      <x:c r="E19" s="46" t="str">
        <x:v>Stone wool 20 kg/m³</x:v>
      </x:c>
      <x:c r="F19" s="70" t="str">
        <x:v>JCA_STARTING_ESTIMATE</x:v>
      </x:c>
      <x:c r="G19" s="54" t="n">
        <x:v>50</x:v>
      </x:c>
      <x:c r="H19" s="54" t="n">
        <x:v>20</x:v>
      </x:c>
      <x:c r="I19" s="66" t="n">
        <x:v>5000</x:v>
      </x:c>
      <x:c r="J19" s="76" t="n">
        <x:f>IF(OR(G19="",I19=""),"",I19*G19/1000)</x:f>
        <x:v>250</x:v>
      </x:c>
      <x:c r="K19" s="62" t="n">
        <x:v>0.99</x:v>
      </x:c>
      <x:c r="L19" s="62" t="n">
        <x:v>1.03</x:v>
      </x:c>
      <x:c r="M19" s="66" t="n">
        <x:v>180</x:v>
      </x:c>
      <x:c r="N19" s="66" t="n">
        <x:v>360</x:v>
      </x:c>
      <x:c r="O19" s="54" t="n">
        <x:v>20</x:v>
      </x:c>
      <x:c r="P19" s="62" t="n">
        <x:v>0.1</x:v>
      </x:c>
      <x:c r="Q19" s="62" t="n">
        <x:v>0.2</x:v>
      </x:c>
      <x:c r="R19" s="54"/>
      <x:c r="S19" s="62" t="n">
        <x:v>1.204</x:v>
      </x:c>
      <x:c r="T19" s="54" t="n">
        <x:v>343.2</x:v>
      </x:c>
      <x:c r="U19" s="86" t="n">
        <x:f>IF(OR(S19="",T19=""),"",S19*T19)</x:f>
        <x:v>413.21279999999996</x:v>
      </x:c>
      <x:c r="V19" s="46" t="str">
        <x:v>DÜŞÜK</x:v>
      </x:c>
      <x:c r="W19" s="46" t="str"/>
      <x:c r="X19" s="50" t="str">
        <x:v>σ, φ, α∞, Λ ve Λ' JCA/JCAL başlangıç tahminidir; empedans tüpü/akış direnci ölçümüyle kalibre edilmelidir. Çerçeve limp/elastic seçimi önemlidir.</x:v>
      </x:c>
    </x:row>
    <x:row r="20">
      <x:c r="A20" s="46" t="str">
        <x:v>MW-STONE-D20-T60</x:v>
      </x:c>
      <x:c r="B20" s="46" t="str">
        <x:v>Mineral yün</x:v>
      </x:c>
      <x:c r="C20" s="46" t="str">
        <x:v>Taş yünü – genel</x:v>
      </x:c>
      <x:c r="D20" s="46" t="str">
        <x:v>GENERIC</x:v>
      </x:c>
      <x:c r="E20" s="46" t="str">
        <x:v>Stone wool 20 kg/m³</x:v>
      </x:c>
      <x:c r="F20" s="70" t="str">
        <x:v>JCA_STARTING_ESTIMATE</x:v>
      </x:c>
      <x:c r="G20" s="54" t="n">
        <x:v>60</x:v>
      </x:c>
      <x:c r="H20" s="54" t="n">
        <x:v>20</x:v>
      </x:c>
      <x:c r="I20" s="66" t="n">
        <x:v>5000</x:v>
      </x:c>
      <x:c r="J20" s="76" t="n">
        <x:f>IF(OR(G20="",I20=""),"",I20*G20/1000)</x:f>
        <x:v>300</x:v>
      </x:c>
      <x:c r="K20" s="62" t="n">
        <x:v>0.99</x:v>
      </x:c>
      <x:c r="L20" s="62" t="n">
        <x:v>1.03</x:v>
      </x:c>
      <x:c r="M20" s="66" t="n">
        <x:v>180</x:v>
      </x:c>
      <x:c r="N20" s="66" t="n">
        <x:v>360</x:v>
      </x:c>
      <x:c r="O20" s="54" t="n">
        <x:v>20</x:v>
      </x:c>
      <x:c r="P20" s="62" t="n">
        <x:v>0.1</x:v>
      </x:c>
      <x:c r="Q20" s="62" t="n">
        <x:v>0.2</x:v>
      </x:c>
      <x:c r="R20" s="54"/>
      <x:c r="S20" s="62" t="n">
        <x:v>1.204</x:v>
      </x:c>
      <x:c r="T20" s="54" t="n">
        <x:v>343.2</x:v>
      </x:c>
      <x:c r="U20" s="86" t="n">
        <x:f>IF(OR(S20="",T20=""),"",S20*T20)</x:f>
        <x:v>413.21279999999996</x:v>
      </x:c>
      <x:c r="V20" s="46" t="str">
        <x:v>DÜŞÜK</x:v>
      </x:c>
      <x:c r="W20" s="46" t="str"/>
      <x:c r="X20" s="50" t="str">
        <x:v>σ, φ, α∞, Λ ve Λ' JCA/JCAL başlangıç tahminidir; empedans tüpü/akış direnci ölçümüyle kalibre edilmelidir. Çerçeve limp/elastic seçimi önemlidir.</x:v>
      </x:c>
    </x:row>
    <x:row r="21">
      <x:c r="A21" s="46" t="str">
        <x:v>MW-STONE-D20-T75</x:v>
      </x:c>
      <x:c r="B21" s="46" t="str">
        <x:v>Mineral yün</x:v>
      </x:c>
      <x:c r="C21" s="46" t="str">
        <x:v>Taş yünü – genel</x:v>
      </x:c>
      <x:c r="D21" s="46" t="str">
        <x:v>GENERIC</x:v>
      </x:c>
      <x:c r="E21" s="46" t="str">
        <x:v>Stone wool 20 kg/m³</x:v>
      </x:c>
      <x:c r="F21" s="70" t="str">
        <x:v>JCA_STARTING_ESTIMATE</x:v>
      </x:c>
      <x:c r="G21" s="54" t="n">
        <x:v>75</x:v>
      </x:c>
      <x:c r="H21" s="54" t="n">
        <x:v>20</x:v>
      </x:c>
      <x:c r="I21" s="66" t="n">
        <x:v>5000</x:v>
      </x:c>
      <x:c r="J21" s="76" t="n">
        <x:f>IF(OR(G21="",I21=""),"",I21*G21/1000)</x:f>
        <x:v>375</x:v>
      </x:c>
      <x:c r="K21" s="62" t="n">
        <x:v>0.99</x:v>
      </x:c>
      <x:c r="L21" s="62" t="n">
        <x:v>1.03</x:v>
      </x:c>
      <x:c r="M21" s="66" t="n">
        <x:v>180</x:v>
      </x:c>
      <x:c r="N21" s="66" t="n">
        <x:v>360</x:v>
      </x:c>
      <x:c r="O21" s="54" t="n">
        <x:v>20</x:v>
      </x:c>
      <x:c r="P21" s="62" t="n">
        <x:v>0.1</x:v>
      </x:c>
      <x:c r="Q21" s="62" t="n">
        <x:v>0.2</x:v>
      </x:c>
      <x:c r="R21" s="54"/>
      <x:c r="S21" s="62" t="n">
        <x:v>1.204</x:v>
      </x:c>
      <x:c r="T21" s="54" t="n">
        <x:v>343.2</x:v>
      </x:c>
      <x:c r="U21" s="86" t="n">
        <x:f>IF(OR(S21="",T21=""),"",S21*T21)</x:f>
        <x:v>413.21279999999996</x:v>
      </x:c>
      <x:c r="V21" s="46" t="str">
        <x:v>DÜŞÜK</x:v>
      </x:c>
      <x:c r="W21" s="46" t="str"/>
      <x:c r="X21" s="50" t="str">
        <x:v>σ, φ, α∞, Λ ve Λ' JCA/JCAL başlangıç tahminidir; empedans tüpü/akış direnci ölçümüyle kalibre edilmelidir. Çerçeve limp/elastic seçimi önemlidir.</x:v>
      </x:c>
    </x:row>
    <x:row r="22">
      <x:c r="A22" s="46" t="str">
        <x:v>MW-STONE-D20-T80</x:v>
      </x:c>
      <x:c r="B22" s="46" t="str">
        <x:v>Mineral yün</x:v>
      </x:c>
      <x:c r="C22" s="46" t="str">
        <x:v>Taş yünü – genel</x:v>
      </x:c>
      <x:c r="D22" s="46" t="str">
        <x:v>GENERIC</x:v>
      </x:c>
      <x:c r="E22" s="46" t="str">
        <x:v>Stone wool 20 kg/m³</x:v>
      </x:c>
      <x:c r="F22" s="70" t="str">
        <x:v>JCA_STARTING_ESTIMATE</x:v>
      </x:c>
      <x:c r="G22" s="54" t="n">
        <x:v>80</x:v>
      </x:c>
      <x:c r="H22" s="54" t="n">
        <x:v>20</x:v>
      </x:c>
      <x:c r="I22" s="66" t="n">
        <x:v>5000</x:v>
      </x:c>
      <x:c r="J22" s="76" t="n">
        <x:f>IF(OR(G22="",I22=""),"",I22*G22/1000)</x:f>
        <x:v>400</x:v>
      </x:c>
      <x:c r="K22" s="62" t="n">
        <x:v>0.99</x:v>
      </x:c>
      <x:c r="L22" s="62" t="n">
        <x:v>1.03</x:v>
      </x:c>
      <x:c r="M22" s="66" t="n">
        <x:v>180</x:v>
      </x:c>
      <x:c r="N22" s="66" t="n">
        <x:v>360</x:v>
      </x:c>
      <x:c r="O22" s="54" t="n">
        <x:v>20</x:v>
      </x:c>
      <x:c r="P22" s="62" t="n">
        <x:v>0.1</x:v>
      </x:c>
      <x:c r="Q22" s="62" t="n">
        <x:v>0.2</x:v>
      </x:c>
      <x:c r="R22" s="54"/>
      <x:c r="S22" s="62" t="n">
        <x:v>1.204</x:v>
      </x:c>
      <x:c r="T22" s="54" t="n">
        <x:v>343.2</x:v>
      </x:c>
      <x:c r="U22" s="86" t="n">
        <x:f>IF(OR(S22="",T22=""),"",S22*T22)</x:f>
        <x:v>413.21279999999996</x:v>
      </x:c>
      <x:c r="V22" s="46" t="str">
        <x:v>DÜŞÜK</x:v>
      </x:c>
      <x:c r="W22" s="46" t="str"/>
      <x:c r="X22" s="50" t="str">
        <x:v>σ, φ, α∞, Λ ve Λ' JCA/JCAL başlangıç tahminidir; empedans tüpü/akış direnci ölçümüyle kalibre edilmelidir. Çerçeve limp/elastic seçimi önemlidir.</x:v>
      </x:c>
    </x:row>
    <x:row r="23">
      <x:c r="A23" s="46" t="str">
        <x:v>MW-STONE-D20-T100</x:v>
      </x:c>
      <x:c r="B23" s="46" t="str">
        <x:v>Mineral yün</x:v>
      </x:c>
      <x:c r="C23" s="46" t="str">
        <x:v>Taş yünü – genel</x:v>
      </x:c>
      <x:c r="D23" s="46" t="str">
        <x:v>GENERIC</x:v>
      </x:c>
      <x:c r="E23" s="46" t="str">
        <x:v>Stone wool 20 kg/m³</x:v>
      </x:c>
      <x:c r="F23" s="70" t="str">
        <x:v>JCA_STARTING_ESTIMATE</x:v>
      </x:c>
      <x:c r="G23" s="54" t="n">
        <x:v>100</x:v>
      </x:c>
      <x:c r="H23" s="54" t="n">
        <x:v>20</x:v>
      </x:c>
      <x:c r="I23" s="66" t="n">
        <x:v>5000</x:v>
      </x:c>
      <x:c r="J23" s="76" t="n">
        <x:f>IF(OR(G23="",I23=""),"",I23*G23/1000)</x:f>
        <x:v>500</x:v>
      </x:c>
      <x:c r="K23" s="62" t="n">
        <x:v>0.99</x:v>
      </x:c>
      <x:c r="L23" s="62" t="n">
        <x:v>1.03</x:v>
      </x:c>
      <x:c r="M23" s="66" t="n">
        <x:v>180</x:v>
      </x:c>
      <x:c r="N23" s="66" t="n">
        <x:v>360</x:v>
      </x:c>
      <x:c r="O23" s="54" t="n">
        <x:v>20</x:v>
      </x:c>
      <x:c r="P23" s="62" t="n">
        <x:v>0.1</x:v>
      </x:c>
      <x:c r="Q23" s="62" t="n">
        <x:v>0.2</x:v>
      </x:c>
      <x:c r="R23" s="54"/>
      <x:c r="S23" s="62" t="n">
        <x:v>1.204</x:v>
      </x:c>
      <x:c r="T23" s="54" t="n">
        <x:v>343.2</x:v>
      </x:c>
      <x:c r="U23" s="86" t="n">
        <x:f>IF(OR(S23="",T23=""),"",S23*T23)</x:f>
        <x:v>413.21279999999996</x:v>
      </x:c>
      <x:c r="V23" s="46" t="str">
        <x:v>DÜŞÜK</x:v>
      </x:c>
      <x:c r="W23" s="46" t="str"/>
      <x:c r="X23" s="50" t="str">
        <x:v>σ, φ, α∞, Λ ve Λ' JCA/JCAL başlangıç tahminidir; empedans tüpü/akış direnci ölçümüyle kalibre edilmelidir. Çerçeve limp/elastic seçimi önemlidir.</x:v>
      </x:c>
    </x:row>
    <x:row r="24">
      <x:c r="A24" s="46" t="str">
        <x:v>MW-STONE-D20-T120</x:v>
      </x:c>
      <x:c r="B24" s="46" t="str">
        <x:v>Mineral yün</x:v>
      </x:c>
      <x:c r="C24" s="46" t="str">
        <x:v>Taş yünü – genel</x:v>
      </x:c>
      <x:c r="D24" s="46" t="str">
        <x:v>GENERIC</x:v>
      </x:c>
      <x:c r="E24" s="46" t="str">
        <x:v>Stone wool 20 kg/m³</x:v>
      </x:c>
      <x:c r="F24" s="70" t="str">
        <x:v>JCA_STARTING_ESTIMATE</x:v>
      </x:c>
      <x:c r="G24" s="54" t="n">
        <x:v>120</x:v>
      </x:c>
      <x:c r="H24" s="54" t="n">
        <x:v>20</x:v>
      </x:c>
      <x:c r="I24" s="66" t="n">
        <x:v>5000</x:v>
      </x:c>
      <x:c r="J24" s="76" t="n">
        <x:f>IF(OR(G24="",I24=""),"",I24*G24/1000)</x:f>
        <x:v>600</x:v>
      </x:c>
      <x:c r="K24" s="62" t="n">
        <x:v>0.99</x:v>
      </x:c>
      <x:c r="L24" s="62" t="n">
        <x:v>1.03</x:v>
      </x:c>
      <x:c r="M24" s="66" t="n">
        <x:v>180</x:v>
      </x:c>
      <x:c r="N24" s="66" t="n">
        <x:v>360</x:v>
      </x:c>
      <x:c r="O24" s="54" t="n">
        <x:v>20</x:v>
      </x:c>
      <x:c r="P24" s="62" t="n">
        <x:v>0.1</x:v>
      </x:c>
      <x:c r="Q24" s="62" t="n">
        <x:v>0.2</x:v>
      </x:c>
      <x:c r="R24" s="54"/>
      <x:c r="S24" s="62" t="n">
        <x:v>1.204</x:v>
      </x:c>
      <x:c r="T24" s="54" t="n">
        <x:v>343.2</x:v>
      </x:c>
      <x:c r="U24" s="86" t="n">
        <x:f>IF(OR(S24="",T24=""),"",S24*T24)</x:f>
        <x:v>413.21279999999996</x:v>
      </x:c>
      <x:c r="V24" s="46" t="str">
        <x:v>DÜŞÜK</x:v>
      </x:c>
      <x:c r="W24" s="46" t="str"/>
      <x:c r="X24" s="50" t="str">
        <x:v>σ, φ, α∞, Λ ve Λ' JCA/JCAL başlangıç tahminidir; empedans tüpü/akış direnci ölçümüyle kalibre edilmelidir. Çerçeve limp/elastic seçimi önemlidir.</x:v>
      </x:c>
    </x:row>
    <x:row r="25">
      <x:c r="A25" s="46" t="str">
        <x:v>MW-STONE-D20-T150</x:v>
      </x:c>
      <x:c r="B25" s="46" t="str">
        <x:v>Mineral yün</x:v>
      </x:c>
      <x:c r="C25" s="46" t="str">
        <x:v>Taş yünü – genel</x:v>
      </x:c>
      <x:c r="D25" s="46" t="str">
        <x:v>GENERIC</x:v>
      </x:c>
      <x:c r="E25" s="46" t="str">
        <x:v>Stone wool 20 kg/m³</x:v>
      </x:c>
      <x:c r="F25" s="70" t="str">
        <x:v>JCA_STARTING_ESTIMATE</x:v>
      </x:c>
      <x:c r="G25" s="54" t="n">
        <x:v>150</x:v>
      </x:c>
      <x:c r="H25" s="54" t="n">
        <x:v>20</x:v>
      </x:c>
      <x:c r="I25" s="66" t="n">
        <x:v>5000</x:v>
      </x:c>
      <x:c r="J25" s="76" t="n">
        <x:f>IF(OR(G25="",I25=""),"",I25*G25/1000)</x:f>
        <x:v>750</x:v>
      </x:c>
      <x:c r="K25" s="62" t="n">
        <x:v>0.99</x:v>
      </x:c>
      <x:c r="L25" s="62" t="n">
        <x:v>1.03</x:v>
      </x:c>
      <x:c r="M25" s="66" t="n">
        <x:v>180</x:v>
      </x:c>
      <x:c r="N25" s="66" t="n">
        <x:v>360</x:v>
      </x:c>
      <x:c r="O25" s="54" t="n">
        <x:v>20</x:v>
      </x:c>
      <x:c r="P25" s="62" t="n">
        <x:v>0.1</x:v>
      </x:c>
      <x:c r="Q25" s="62" t="n">
        <x:v>0.2</x:v>
      </x:c>
      <x:c r="R25" s="54"/>
      <x:c r="S25" s="62" t="n">
        <x:v>1.204</x:v>
      </x:c>
      <x:c r="T25" s="54" t="n">
        <x:v>343.2</x:v>
      </x:c>
      <x:c r="U25" s="86" t="n">
        <x:f>IF(OR(S25="",T25=""),"",S25*T25)</x:f>
        <x:v>413.21279999999996</x:v>
      </x:c>
      <x:c r="V25" s="46" t="str">
        <x:v>DÜŞÜK</x:v>
      </x:c>
      <x:c r="W25" s="46" t="str"/>
      <x:c r="X25" s="50" t="str">
        <x:v>σ, φ, α∞, Λ ve Λ' JCA/JCAL başlangıç tahminidir; empedans tüpü/akış direnci ölçümüyle kalibre edilmelidir. Çerçeve limp/elastic seçimi önemlidir.</x:v>
      </x:c>
    </x:row>
    <x:row r="26">
      <x:c r="A26" s="46" t="str">
        <x:v>MW-STONE-D30-T25</x:v>
      </x:c>
      <x:c r="B26" s="46" t="str">
        <x:v>Mineral yün</x:v>
      </x:c>
      <x:c r="C26" s="46" t="str">
        <x:v>Taş yünü – genel</x:v>
      </x:c>
      <x:c r="D26" s="46" t="str">
        <x:v>GENERIC</x:v>
      </x:c>
      <x:c r="E26" s="46" t="str">
        <x:v>Stone wool 30 kg/m³</x:v>
      </x:c>
      <x:c r="F26" s="70" t="str">
        <x:v>JCA_STARTING_ESTIMATE</x:v>
      </x:c>
      <x:c r="G26" s="54" t="n">
        <x:v>25</x:v>
      </x:c>
      <x:c r="H26" s="54" t="n">
        <x:v>30</x:v>
      </x:c>
      <x:c r="I26" s="66" t="n">
        <x:v>8000</x:v>
      </x:c>
      <x:c r="J26" s="76" t="n">
        <x:f>IF(OR(G26="",I26=""),"",I26*G26/1000)</x:f>
        <x:v>200</x:v>
      </x:c>
      <x:c r="K26" s="62" t="n">
        <x:v>0.99</x:v>
      </x:c>
      <x:c r="L26" s="62" t="n">
        <x:v>1.03</x:v>
      </x:c>
      <x:c r="M26" s="66" t="n">
        <x:v>180</x:v>
      </x:c>
      <x:c r="N26" s="66" t="n">
        <x:v>360</x:v>
      </x:c>
      <x:c r="O26" s="54" t="n">
        <x:v>35</x:v>
      </x:c>
      <x:c r="P26" s="62" t="n">
        <x:v>0.1</x:v>
      </x:c>
      <x:c r="Q26" s="62" t="n">
        <x:v>0.2</x:v>
      </x:c>
      <x:c r="R26" s="54"/>
      <x:c r="S26" s="62" t="n">
        <x:v>1.204</x:v>
      </x:c>
      <x:c r="T26" s="54" t="n">
        <x:v>343.2</x:v>
      </x:c>
      <x:c r="U26" s="86" t="n">
        <x:f>IF(OR(S26="",T26=""),"",S26*T26)</x:f>
        <x:v>413.21279999999996</x:v>
      </x:c>
      <x:c r="V26" s="46" t="str">
        <x:v>DÜŞÜK</x:v>
      </x:c>
      <x:c r="W26" s="46" t="str"/>
      <x:c r="X26" s="50" t="str">
        <x:v>σ, φ, α∞, Λ ve Λ' JCA/JCAL başlangıç tahminidir; empedans tüpü/akış direnci ölçümüyle kalibre edilmelidir. Çerçeve limp/elastic seçimi önemlidir.</x:v>
      </x:c>
    </x:row>
    <x:row r="27">
      <x:c r="A27" s="46" t="str">
        <x:v>MW-STONE-D30-T40</x:v>
      </x:c>
      <x:c r="B27" s="46" t="str">
        <x:v>Mineral yün</x:v>
      </x:c>
      <x:c r="C27" s="46" t="str">
        <x:v>Taş yünü – genel</x:v>
      </x:c>
      <x:c r="D27" s="46" t="str">
        <x:v>GENERIC</x:v>
      </x:c>
      <x:c r="E27" s="46" t="str">
        <x:v>Stone wool 30 kg/m³</x:v>
      </x:c>
      <x:c r="F27" s="70" t="str">
        <x:v>JCA_STARTING_ESTIMATE</x:v>
      </x:c>
      <x:c r="G27" s="54" t="n">
        <x:v>40</x:v>
      </x:c>
      <x:c r="H27" s="54" t="n">
        <x:v>30</x:v>
      </x:c>
      <x:c r="I27" s="66" t="n">
        <x:v>8000</x:v>
      </x:c>
      <x:c r="J27" s="76" t="n">
        <x:f>IF(OR(G27="",I27=""),"",I27*G27/1000)</x:f>
        <x:v>320</x:v>
      </x:c>
      <x:c r="K27" s="62" t="n">
        <x:v>0.99</x:v>
      </x:c>
      <x:c r="L27" s="62" t="n">
        <x:v>1.03</x:v>
      </x:c>
      <x:c r="M27" s="66" t="n">
        <x:v>180</x:v>
      </x:c>
      <x:c r="N27" s="66" t="n">
        <x:v>360</x:v>
      </x:c>
      <x:c r="O27" s="54" t="n">
        <x:v>35</x:v>
      </x:c>
      <x:c r="P27" s="62" t="n">
        <x:v>0.1</x:v>
      </x:c>
      <x:c r="Q27" s="62" t="n">
        <x:v>0.2</x:v>
      </x:c>
      <x:c r="R27" s="54"/>
      <x:c r="S27" s="62" t="n">
        <x:v>1.204</x:v>
      </x:c>
      <x:c r="T27" s="54" t="n">
        <x:v>343.2</x:v>
      </x:c>
      <x:c r="U27" s="86" t="n">
        <x:f>IF(OR(S27="",T27=""),"",S27*T27)</x:f>
        <x:v>413.21279999999996</x:v>
      </x:c>
      <x:c r="V27" s="46" t="str">
        <x:v>DÜŞÜK</x:v>
      </x:c>
      <x:c r="W27" s="46" t="str"/>
      <x:c r="X27" s="50" t="str">
        <x:v>σ, φ, α∞, Λ ve Λ' JCA/JCAL başlangıç tahminidir; empedans tüpü/akış direnci ölçümüyle kalibre edilmelidir. Çerçeve limp/elastic seçimi önemlidir.</x:v>
      </x:c>
    </x:row>
    <x:row r="28">
      <x:c r="A28" s="46" t="str">
        <x:v>MW-STONE-D30-T50</x:v>
      </x:c>
      <x:c r="B28" s="46" t="str">
        <x:v>Mineral yün</x:v>
      </x:c>
      <x:c r="C28" s="46" t="str">
        <x:v>Taş yünü – genel</x:v>
      </x:c>
      <x:c r="D28" s="46" t="str">
        <x:v>GENERIC</x:v>
      </x:c>
      <x:c r="E28" s="46" t="str">
        <x:v>Stone wool 30 kg/m³</x:v>
      </x:c>
      <x:c r="F28" s="70" t="str">
        <x:v>JCA_STARTING_ESTIMATE</x:v>
      </x:c>
      <x:c r="G28" s="54" t="n">
        <x:v>50</x:v>
      </x:c>
      <x:c r="H28" s="54" t="n">
        <x:v>30</x:v>
      </x:c>
      <x:c r="I28" s="66" t="n">
        <x:v>8000</x:v>
      </x:c>
      <x:c r="J28" s="76" t="n">
        <x:f>IF(OR(G28="",I28=""),"",I28*G28/1000)</x:f>
        <x:v>400</x:v>
      </x:c>
      <x:c r="K28" s="62" t="n">
        <x:v>0.99</x:v>
      </x:c>
      <x:c r="L28" s="62" t="n">
        <x:v>1.03</x:v>
      </x:c>
      <x:c r="M28" s="66" t="n">
        <x:v>180</x:v>
      </x:c>
      <x:c r="N28" s="66" t="n">
        <x:v>360</x:v>
      </x:c>
      <x:c r="O28" s="54" t="n">
        <x:v>35</x:v>
      </x:c>
      <x:c r="P28" s="62" t="n">
        <x:v>0.1</x:v>
      </x:c>
      <x:c r="Q28" s="62" t="n">
        <x:v>0.2</x:v>
      </x:c>
      <x:c r="R28" s="54"/>
      <x:c r="S28" s="62" t="n">
        <x:v>1.204</x:v>
      </x:c>
      <x:c r="T28" s="54" t="n">
        <x:v>343.2</x:v>
      </x:c>
      <x:c r="U28" s="86" t="n">
        <x:f>IF(OR(S28="",T28=""),"",S28*T28)</x:f>
        <x:v>413.21279999999996</x:v>
      </x:c>
      <x:c r="V28" s="46" t="str">
        <x:v>DÜŞÜK</x:v>
      </x:c>
      <x:c r="W28" s="46" t="str"/>
      <x:c r="X28" s="50" t="str">
        <x:v>σ, φ, α∞, Λ ve Λ' JCA/JCAL başlangıç tahminidir; empedans tüpü/akış direnci ölçümüyle kalibre edilmelidir. Çerçeve limp/elastic seçimi önemlidir.</x:v>
      </x:c>
    </x:row>
    <x:row r="29">
      <x:c r="A29" s="46" t="str">
        <x:v>MW-STONE-D30-T60</x:v>
      </x:c>
      <x:c r="B29" s="46" t="str">
        <x:v>Mineral yün</x:v>
      </x:c>
      <x:c r="C29" s="46" t="str">
        <x:v>Taş yünü – genel</x:v>
      </x:c>
      <x:c r="D29" s="46" t="str">
        <x:v>GENERIC</x:v>
      </x:c>
      <x:c r="E29" s="46" t="str">
        <x:v>Stone wool 30 kg/m³</x:v>
      </x:c>
      <x:c r="F29" s="70" t="str">
        <x:v>JCA_STARTING_ESTIMATE</x:v>
      </x:c>
      <x:c r="G29" s="54" t="n">
        <x:v>60</x:v>
      </x:c>
      <x:c r="H29" s="54" t="n">
        <x:v>30</x:v>
      </x:c>
      <x:c r="I29" s="66" t="n">
        <x:v>8000</x:v>
      </x:c>
      <x:c r="J29" s="76" t="n">
        <x:f>IF(OR(G29="",I29=""),"",I29*G29/1000)</x:f>
        <x:v>480</x:v>
      </x:c>
      <x:c r="K29" s="62" t="n">
        <x:v>0.99</x:v>
      </x:c>
      <x:c r="L29" s="62" t="n">
        <x:v>1.03</x:v>
      </x:c>
      <x:c r="M29" s="66" t="n">
        <x:v>180</x:v>
      </x:c>
      <x:c r="N29" s="66" t="n">
        <x:v>360</x:v>
      </x:c>
      <x:c r="O29" s="54" t="n">
        <x:v>35</x:v>
      </x:c>
      <x:c r="P29" s="62" t="n">
        <x:v>0.1</x:v>
      </x:c>
      <x:c r="Q29" s="62" t="n">
        <x:v>0.2</x:v>
      </x:c>
      <x:c r="R29" s="54"/>
      <x:c r="S29" s="62" t="n">
        <x:v>1.204</x:v>
      </x:c>
      <x:c r="T29" s="54" t="n">
        <x:v>343.2</x:v>
      </x:c>
      <x:c r="U29" s="86" t="n">
        <x:f>IF(OR(S29="",T29=""),"",S29*T29)</x:f>
        <x:v>413.21279999999996</x:v>
      </x:c>
      <x:c r="V29" s="46" t="str">
        <x:v>DÜŞÜK</x:v>
      </x:c>
      <x:c r="W29" s="46" t="str"/>
      <x:c r="X29" s="50" t="str">
        <x:v>σ, φ, α∞, Λ ve Λ' JCA/JCAL başlangıç tahminidir; empedans tüpü/akış direnci ölçümüyle kalibre edilmelidir. Çerçeve limp/elastic seçimi önemlidir.</x:v>
      </x:c>
    </x:row>
    <x:row r="30">
      <x:c r="A30" s="46" t="str">
        <x:v>MW-STONE-D30-T75</x:v>
      </x:c>
      <x:c r="B30" s="46" t="str">
        <x:v>Mineral yün</x:v>
      </x:c>
      <x:c r="C30" s="46" t="str">
        <x:v>Taş yünü – genel</x:v>
      </x:c>
      <x:c r="D30" s="46" t="str">
        <x:v>GENERIC</x:v>
      </x:c>
      <x:c r="E30" s="46" t="str">
        <x:v>Stone wool 30 kg/m³</x:v>
      </x:c>
      <x:c r="F30" s="70" t="str">
        <x:v>JCA_STARTING_ESTIMATE</x:v>
      </x:c>
      <x:c r="G30" s="54" t="n">
        <x:v>75</x:v>
      </x:c>
      <x:c r="H30" s="54" t="n">
        <x:v>30</x:v>
      </x:c>
      <x:c r="I30" s="66" t="n">
        <x:v>8000</x:v>
      </x:c>
      <x:c r="J30" s="76" t="n">
        <x:f>IF(OR(G30="",I30=""),"",I30*G30/1000)</x:f>
        <x:v>600</x:v>
      </x:c>
      <x:c r="K30" s="62" t="n">
        <x:v>0.99</x:v>
      </x:c>
      <x:c r="L30" s="62" t="n">
        <x:v>1.03</x:v>
      </x:c>
      <x:c r="M30" s="66" t="n">
        <x:v>180</x:v>
      </x:c>
      <x:c r="N30" s="66" t="n">
        <x:v>360</x:v>
      </x:c>
      <x:c r="O30" s="54" t="n">
        <x:v>35</x:v>
      </x:c>
      <x:c r="P30" s="62" t="n">
        <x:v>0.1</x:v>
      </x:c>
      <x:c r="Q30" s="62" t="n">
        <x:v>0.2</x:v>
      </x:c>
      <x:c r="R30" s="54"/>
      <x:c r="S30" s="62" t="n">
        <x:v>1.204</x:v>
      </x:c>
      <x:c r="T30" s="54" t="n">
        <x:v>343.2</x:v>
      </x:c>
      <x:c r="U30" s="86" t="n">
        <x:f>IF(OR(S30="",T30=""),"",S30*T30)</x:f>
        <x:v>413.21279999999996</x:v>
      </x:c>
      <x:c r="V30" s="46" t="str">
        <x:v>DÜŞÜK</x:v>
      </x:c>
      <x:c r="W30" s="46" t="str"/>
      <x:c r="X30" s="50" t="str">
        <x:v>σ, φ, α∞, Λ ve Λ' JCA/JCAL başlangıç tahminidir; empedans tüpü/akış direnci ölçümüyle kalibre edilmelidir. Çerçeve limp/elastic seçimi önemlidir.</x:v>
      </x:c>
    </x:row>
    <x:row r="31">
      <x:c r="A31" s="46" t="str">
        <x:v>MW-STONE-D30-T80</x:v>
      </x:c>
      <x:c r="B31" s="46" t="str">
        <x:v>Mineral yün</x:v>
      </x:c>
      <x:c r="C31" s="46" t="str">
        <x:v>Taş yünü – genel</x:v>
      </x:c>
      <x:c r="D31" s="46" t="str">
        <x:v>GENERIC</x:v>
      </x:c>
      <x:c r="E31" s="46" t="str">
        <x:v>Stone wool 30 kg/m³</x:v>
      </x:c>
      <x:c r="F31" s="70" t="str">
        <x:v>JCA_STARTING_ESTIMATE</x:v>
      </x:c>
      <x:c r="G31" s="54" t="n">
        <x:v>80</x:v>
      </x:c>
      <x:c r="H31" s="54" t="n">
        <x:v>30</x:v>
      </x:c>
      <x:c r="I31" s="66" t="n">
        <x:v>8000</x:v>
      </x:c>
      <x:c r="J31" s="76" t="n">
        <x:f>IF(OR(G31="",I31=""),"",I31*G31/1000)</x:f>
        <x:v>640</x:v>
      </x:c>
      <x:c r="K31" s="62" t="n">
        <x:v>0.99</x:v>
      </x:c>
      <x:c r="L31" s="62" t="n">
        <x:v>1.03</x:v>
      </x:c>
      <x:c r="M31" s="66" t="n">
        <x:v>180</x:v>
      </x:c>
      <x:c r="N31" s="66" t="n">
        <x:v>360</x:v>
      </x:c>
      <x:c r="O31" s="54" t="n">
        <x:v>35</x:v>
      </x:c>
      <x:c r="P31" s="62" t="n">
        <x:v>0.1</x:v>
      </x:c>
      <x:c r="Q31" s="62" t="n">
        <x:v>0.2</x:v>
      </x:c>
      <x:c r="R31" s="54"/>
      <x:c r="S31" s="62" t="n">
        <x:v>1.204</x:v>
      </x:c>
      <x:c r="T31" s="54" t="n">
        <x:v>343.2</x:v>
      </x:c>
      <x:c r="U31" s="86" t="n">
        <x:f>IF(OR(S31="",T31=""),"",S31*T31)</x:f>
        <x:v>413.21279999999996</x:v>
      </x:c>
      <x:c r="V31" s="46" t="str">
        <x:v>DÜŞÜK</x:v>
      </x:c>
      <x:c r="W31" s="46" t="str"/>
      <x:c r="X31" s="50" t="str">
        <x:v>σ, φ, α∞, Λ ve Λ' JCA/JCAL başlangıç tahminidir; empedans tüpü/akış direnci ölçümüyle kalibre edilmelidir. Çerçeve limp/elastic seçimi önemlidir.</x:v>
      </x:c>
    </x:row>
    <x:row r="32">
      <x:c r="A32" s="46" t="str">
        <x:v>MW-STONE-D30-T100</x:v>
      </x:c>
      <x:c r="B32" s="46" t="str">
        <x:v>Mineral yün</x:v>
      </x:c>
      <x:c r="C32" s="46" t="str">
        <x:v>Taş yünü – genel</x:v>
      </x:c>
      <x:c r="D32" s="46" t="str">
        <x:v>GENERIC</x:v>
      </x:c>
      <x:c r="E32" s="46" t="str">
        <x:v>Stone wool 30 kg/m³</x:v>
      </x:c>
      <x:c r="F32" s="70" t="str">
        <x:v>JCA_STARTING_ESTIMATE</x:v>
      </x:c>
      <x:c r="G32" s="54" t="n">
        <x:v>100</x:v>
      </x:c>
      <x:c r="H32" s="54" t="n">
        <x:v>30</x:v>
      </x:c>
      <x:c r="I32" s="66" t="n">
        <x:v>8000</x:v>
      </x:c>
      <x:c r="J32" s="76" t="n">
        <x:f>IF(OR(G32="",I32=""),"",I32*G32/1000)</x:f>
        <x:v>800</x:v>
      </x:c>
      <x:c r="K32" s="62" t="n">
        <x:v>0.99</x:v>
      </x:c>
      <x:c r="L32" s="62" t="n">
        <x:v>1.03</x:v>
      </x:c>
      <x:c r="M32" s="66" t="n">
        <x:v>180</x:v>
      </x:c>
      <x:c r="N32" s="66" t="n">
        <x:v>360</x:v>
      </x:c>
      <x:c r="O32" s="54" t="n">
        <x:v>35</x:v>
      </x:c>
      <x:c r="P32" s="62" t="n">
        <x:v>0.1</x:v>
      </x:c>
      <x:c r="Q32" s="62" t="n">
        <x:v>0.2</x:v>
      </x:c>
      <x:c r="R32" s="54"/>
      <x:c r="S32" s="62" t="n">
        <x:v>1.204</x:v>
      </x:c>
      <x:c r="T32" s="54" t="n">
        <x:v>343.2</x:v>
      </x:c>
      <x:c r="U32" s="86" t="n">
        <x:f>IF(OR(S32="",T32=""),"",S32*T32)</x:f>
        <x:v>413.21279999999996</x:v>
      </x:c>
      <x:c r="V32" s="46" t="str">
        <x:v>DÜŞÜK</x:v>
      </x:c>
      <x:c r="W32" s="46" t="str"/>
      <x:c r="X32" s="50" t="str">
        <x:v>σ, φ, α∞, Λ ve Λ' JCA/JCAL başlangıç tahminidir; empedans tüpü/akış direnci ölçümüyle kalibre edilmelidir. Çerçeve limp/elastic seçimi önemlidir.</x:v>
      </x:c>
    </x:row>
    <x:row r="33">
      <x:c r="A33" s="46" t="str">
        <x:v>MW-STONE-D30-T120</x:v>
      </x:c>
      <x:c r="B33" s="46" t="str">
        <x:v>Mineral yün</x:v>
      </x:c>
      <x:c r="C33" s="46" t="str">
        <x:v>Taş yünü – genel</x:v>
      </x:c>
      <x:c r="D33" s="46" t="str">
        <x:v>GENERIC</x:v>
      </x:c>
      <x:c r="E33" s="46" t="str">
        <x:v>Stone wool 30 kg/m³</x:v>
      </x:c>
      <x:c r="F33" s="70" t="str">
        <x:v>JCA_STARTING_ESTIMATE</x:v>
      </x:c>
      <x:c r="G33" s="54" t="n">
        <x:v>120</x:v>
      </x:c>
      <x:c r="H33" s="54" t="n">
        <x:v>30</x:v>
      </x:c>
      <x:c r="I33" s="66" t="n">
        <x:v>8000</x:v>
      </x:c>
      <x:c r="J33" s="76" t="n">
        <x:f>IF(OR(G33="",I33=""),"",I33*G33/1000)</x:f>
        <x:v>960</x:v>
      </x:c>
      <x:c r="K33" s="62" t="n">
        <x:v>0.99</x:v>
      </x:c>
      <x:c r="L33" s="62" t="n">
        <x:v>1.03</x:v>
      </x:c>
      <x:c r="M33" s="66" t="n">
        <x:v>180</x:v>
      </x:c>
      <x:c r="N33" s="66" t="n">
        <x:v>360</x:v>
      </x:c>
      <x:c r="O33" s="54" t="n">
        <x:v>35</x:v>
      </x:c>
      <x:c r="P33" s="62" t="n">
        <x:v>0.1</x:v>
      </x:c>
      <x:c r="Q33" s="62" t="n">
        <x:v>0.2</x:v>
      </x:c>
      <x:c r="R33" s="54"/>
      <x:c r="S33" s="62" t="n">
        <x:v>1.204</x:v>
      </x:c>
      <x:c r="T33" s="54" t="n">
        <x:v>343.2</x:v>
      </x:c>
      <x:c r="U33" s="86" t="n">
        <x:f>IF(OR(S33="",T33=""),"",S33*T33)</x:f>
        <x:v>413.21279999999996</x:v>
      </x:c>
      <x:c r="V33" s="46" t="str">
        <x:v>DÜŞÜK</x:v>
      </x:c>
      <x:c r="W33" s="46" t="str"/>
      <x:c r="X33" s="50" t="str">
        <x:v>σ, φ, α∞, Λ ve Λ' JCA/JCAL başlangıç tahminidir; empedans tüpü/akış direnci ölçümüyle kalibre edilmelidir. Çerçeve limp/elastic seçimi önemlidir.</x:v>
      </x:c>
    </x:row>
    <x:row r="34">
      <x:c r="A34" s="46" t="str">
        <x:v>MW-STONE-D30-T150</x:v>
      </x:c>
      <x:c r="B34" s="46" t="str">
        <x:v>Mineral yün</x:v>
      </x:c>
      <x:c r="C34" s="46" t="str">
        <x:v>Taş yünü – genel</x:v>
      </x:c>
      <x:c r="D34" s="46" t="str">
        <x:v>GENERIC</x:v>
      </x:c>
      <x:c r="E34" s="46" t="str">
        <x:v>Stone wool 30 kg/m³</x:v>
      </x:c>
      <x:c r="F34" s="70" t="str">
        <x:v>JCA_STARTING_ESTIMATE</x:v>
      </x:c>
      <x:c r="G34" s="54" t="n">
        <x:v>150</x:v>
      </x:c>
      <x:c r="H34" s="54" t="n">
        <x:v>30</x:v>
      </x:c>
      <x:c r="I34" s="66" t="n">
        <x:v>8000</x:v>
      </x:c>
      <x:c r="J34" s="76" t="n">
        <x:f>IF(OR(G34="",I34=""),"",I34*G34/1000)</x:f>
        <x:v>1200</x:v>
      </x:c>
      <x:c r="K34" s="62" t="n">
        <x:v>0.99</x:v>
      </x:c>
      <x:c r="L34" s="62" t="n">
        <x:v>1.03</x:v>
      </x:c>
      <x:c r="M34" s="66" t="n">
        <x:v>180</x:v>
      </x:c>
      <x:c r="N34" s="66" t="n">
        <x:v>360</x:v>
      </x:c>
      <x:c r="O34" s="54" t="n">
        <x:v>35</x:v>
      </x:c>
      <x:c r="P34" s="62" t="n">
        <x:v>0.1</x:v>
      </x:c>
      <x:c r="Q34" s="62" t="n">
        <x:v>0.2</x:v>
      </x:c>
      <x:c r="R34" s="54"/>
      <x:c r="S34" s="62" t="n">
        <x:v>1.204</x:v>
      </x:c>
      <x:c r="T34" s="54" t="n">
        <x:v>343.2</x:v>
      </x:c>
      <x:c r="U34" s="86" t="n">
        <x:f>IF(OR(S34="",T34=""),"",S34*T34)</x:f>
        <x:v>413.21279999999996</x:v>
      </x:c>
      <x:c r="V34" s="46" t="str">
        <x:v>DÜŞÜK</x:v>
      </x:c>
      <x:c r="W34" s="46" t="str"/>
      <x:c r="X34" s="50" t="str">
        <x:v>σ, φ, α∞, Λ ve Λ' JCA/JCAL başlangıç tahminidir; empedans tüpü/akış direnci ölçümüyle kalibre edilmelidir. Çerçeve limp/elastic seçimi önemlidir.</x:v>
      </x:c>
    </x:row>
    <x:row r="35">
      <x:c r="A35" s="46" t="str">
        <x:v>MW-STONE-D40-T25</x:v>
      </x:c>
      <x:c r="B35" s="46" t="str">
        <x:v>Mineral yün</x:v>
      </x:c>
      <x:c r="C35" s="46" t="str">
        <x:v>Taş yünü – genel</x:v>
      </x:c>
      <x:c r="D35" s="46" t="str">
        <x:v>GENERIC</x:v>
      </x:c>
      <x:c r="E35" s="46" t="str">
        <x:v>Stone wool 40 kg/m³</x:v>
      </x:c>
      <x:c r="F35" s="70" t="str">
        <x:v>JCA_STARTING_ESTIMATE</x:v>
      </x:c>
      <x:c r="G35" s="54" t="n">
        <x:v>25</x:v>
      </x:c>
      <x:c r="H35" s="54" t="n">
        <x:v>40</x:v>
      </x:c>
      <x:c r="I35" s="66" t="n">
        <x:v>10000</x:v>
      </x:c>
      <x:c r="J35" s="76" t="n">
        <x:f>IF(OR(G35="",I35=""),"",I35*G35/1000)</x:f>
        <x:v>250</x:v>
      </x:c>
      <x:c r="K35" s="62" t="n">
        <x:v>0.98</x:v>
      </x:c>
      <x:c r="L35" s="62" t="n">
        <x:v>1.05</x:v>
      </x:c>
      <x:c r="M35" s="66" t="n">
        <x:v>120</x:v>
      </x:c>
      <x:c r="N35" s="66" t="n">
        <x:v>240</x:v>
      </x:c>
      <x:c r="O35" s="54" t="n">
        <x:v>60</x:v>
      </x:c>
      <x:c r="P35" s="62" t="n">
        <x:v>0.1</x:v>
      </x:c>
      <x:c r="Q35" s="62" t="n">
        <x:v>0.2</x:v>
      </x:c>
      <x:c r="R35" s="54"/>
      <x:c r="S35" s="62" t="n">
        <x:v>1.204</x:v>
      </x:c>
      <x:c r="T35" s="54" t="n">
        <x:v>343.2</x:v>
      </x:c>
      <x:c r="U35" s="86" t="n">
        <x:f>IF(OR(S35="",T35=""),"",S35*T35)</x:f>
        <x:v>413.21279999999996</x:v>
      </x:c>
      <x:c r="V35" s="46" t="str">
        <x:v>DÜŞÜK</x:v>
      </x:c>
      <x:c r="W35" s="46" t="str"/>
      <x:c r="X35" s="50" t="str">
        <x:v>σ, φ, α∞, Λ ve Λ' JCA/JCAL başlangıç tahminidir; empedans tüpü/akış direnci ölçümüyle kalibre edilmelidir. Çerçeve limp/elastic seçimi önemlidir.</x:v>
      </x:c>
    </x:row>
    <x:row r="36">
      <x:c r="A36" s="46" t="str">
        <x:v>MW-STONE-D40-T40</x:v>
      </x:c>
      <x:c r="B36" s="46" t="str">
        <x:v>Mineral yün</x:v>
      </x:c>
      <x:c r="C36" s="46" t="str">
        <x:v>Taş yünü – genel</x:v>
      </x:c>
      <x:c r="D36" s="46" t="str">
        <x:v>GENERIC</x:v>
      </x:c>
      <x:c r="E36" s="46" t="str">
        <x:v>Stone wool 40 kg/m³</x:v>
      </x:c>
      <x:c r="F36" s="70" t="str">
        <x:v>JCA_STARTING_ESTIMATE</x:v>
      </x:c>
      <x:c r="G36" s="54" t="n">
        <x:v>40</x:v>
      </x:c>
      <x:c r="H36" s="54" t="n">
        <x:v>40</x:v>
      </x:c>
      <x:c r="I36" s="66" t="n">
        <x:v>10000</x:v>
      </x:c>
      <x:c r="J36" s="76" t="n">
        <x:f>IF(OR(G36="",I36=""),"",I36*G36/1000)</x:f>
        <x:v>400</x:v>
      </x:c>
      <x:c r="K36" s="62" t="n">
        <x:v>0.98</x:v>
      </x:c>
      <x:c r="L36" s="62" t="n">
        <x:v>1.05</x:v>
      </x:c>
      <x:c r="M36" s="66" t="n">
        <x:v>120</x:v>
      </x:c>
      <x:c r="N36" s="66" t="n">
        <x:v>240</x:v>
      </x:c>
      <x:c r="O36" s="54" t="n">
        <x:v>60</x:v>
      </x:c>
      <x:c r="P36" s="62" t="n">
        <x:v>0.1</x:v>
      </x:c>
      <x:c r="Q36" s="62" t="n">
        <x:v>0.2</x:v>
      </x:c>
      <x:c r="R36" s="54"/>
      <x:c r="S36" s="62" t="n">
        <x:v>1.204</x:v>
      </x:c>
      <x:c r="T36" s="54" t="n">
        <x:v>343.2</x:v>
      </x:c>
      <x:c r="U36" s="86" t="n">
        <x:f>IF(OR(S36="",T36=""),"",S36*T36)</x:f>
        <x:v>413.21279999999996</x:v>
      </x:c>
      <x:c r="V36" s="46" t="str">
        <x:v>DÜŞÜK</x:v>
      </x:c>
      <x:c r="W36" s="46" t="str"/>
      <x:c r="X36" s="50" t="str">
        <x:v>σ, φ, α∞, Λ ve Λ' JCA/JCAL başlangıç tahminidir; empedans tüpü/akış direnci ölçümüyle kalibre edilmelidir. Çerçeve limp/elastic seçimi önemlidir.</x:v>
      </x:c>
    </x:row>
    <x:row r="37">
      <x:c r="A37" s="46" t="str">
        <x:v>MW-STONE-D40-T50</x:v>
      </x:c>
      <x:c r="B37" s="46" t="str">
        <x:v>Mineral yün</x:v>
      </x:c>
      <x:c r="C37" s="46" t="str">
        <x:v>Taş yünü – genel</x:v>
      </x:c>
      <x:c r="D37" s="46" t="str">
        <x:v>GENERIC</x:v>
      </x:c>
      <x:c r="E37" s="46" t="str">
        <x:v>Stone wool 40 kg/m³</x:v>
      </x:c>
      <x:c r="F37" s="70" t="str">
        <x:v>JCA_STARTING_ESTIMATE</x:v>
      </x:c>
      <x:c r="G37" s="54" t="n">
        <x:v>50</x:v>
      </x:c>
      <x:c r="H37" s="54" t="n">
        <x:v>40</x:v>
      </x:c>
      <x:c r="I37" s="66" t="n">
        <x:v>10000</x:v>
      </x:c>
      <x:c r="J37" s="76" t="n">
        <x:f>IF(OR(G37="",I37=""),"",I37*G37/1000)</x:f>
        <x:v>500</x:v>
      </x:c>
      <x:c r="K37" s="62" t="n">
        <x:v>0.98</x:v>
      </x:c>
      <x:c r="L37" s="62" t="n">
        <x:v>1.05</x:v>
      </x:c>
      <x:c r="M37" s="66" t="n">
        <x:v>120</x:v>
      </x:c>
      <x:c r="N37" s="66" t="n">
        <x:v>240</x:v>
      </x:c>
      <x:c r="O37" s="54" t="n">
        <x:v>60</x:v>
      </x:c>
      <x:c r="P37" s="62" t="n">
        <x:v>0.1</x:v>
      </x:c>
      <x:c r="Q37" s="62" t="n">
        <x:v>0.2</x:v>
      </x:c>
      <x:c r="R37" s="54"/>
      <x:c r="S37" s="62" t="n">
        <x:v>1.204</x:v>
      </x:c>
      <x:c r="T37" s="54" t="n">
        <x:v>343.2</x:v>
      </x:c>
      <x:c r="U37" s="86" t="n">
        <x:f>IF(OR(S37="",T37=""),"",S37*T37)</x:f>
        <x:v>413.21279999999996</x:v>
      </x:c>
      <x:c r="V37" s="46" t="str">
        <x:v>DÜŞÜK</x:v>
      </x:c>
      <x:c r="W37" s="46" t="str"/>
      <x:c r="X37" s="50" t="str">
        <x:v>σ, φ, α∞, Λ ve Λ' JCA/JCAL başlangıç tahminidir; empedans tüpü/akış direnci ölçümüyle kalibre edilmelidir. Çerçeve limp/elastic seçimi önemlidir.</x:v>
      </x:c>
    </x:row>
    <x:row r="38">
      <x:c r="A38" s="46" t="str">
        <x:v>MW-STONE-D40-T60</x:v>
      </x:c>
      <x:c r="B38" s="46" t="str">
        <x:v>Mineral yün</x:v>
      </x:c>
      <x:c r="C38" s="46" t="str">
        <x:v>Taş yünü – genel</x:v>
      </x:c>
      <x:c r="D38" s="46" t="str">
        <x:v>GENERIC</x:v>
      </x:c>
      <x:c r="E38" s="46" t="str">
        <x:v>Stone wool 40 kg/m³</x:v>
      </x:c>
      <x:c r="F38" s="70" t="str">
        <x:v>JCA_STARTING_ESTIMATE</x:v>
      </x:c>
      <x:c r="G38" s="54" t="n">
        <x:v>60</x:v>
      </x:c>
      <x:c r="H38" s="54" t="n">
        <x:v>40</x:v>
      </x:c>
      <x:c r="I38" s="66" t="n">
        <x:v>10000</x:v>
      </x:c>
      <x:c r="J38" s="76" t="n">
        <x:f>IF(OR(G38="",I38=""),"",I38*G38/1000)</x:f>
        <x:v>600</x:v>
      </x:c>
      <x:c r="K38" s="62" t="n">
        <x:v>0.98</x:v>
      </x:c>
      <x:c r="L38" s="62" t="n">
        <x:v>1.05</x:v>
      </x:c>
      <x:c r="M38" s="66" t="n">
        <x:v>120</x:v>
      </x:c>
      <x:c r="N38" s="66" t="n">
        <x:v>240</x:v>
      </x:c>
      <x:c r="O38" s="54" t="n">
        <x:v>60</x:v>
      </x:c>
      <x:c r="P38" s="62" t="n">
        <x:v>0.1</x:v>
      </x:c>
      <x:c r="Q38" s="62" t="n">
        <x:v>0.2</x:v>
      </x:c>
      <x:c r="R38" s="54"/>
      <x:c r="S38" s="62" t="n">
        <x:v>1.204</x:v>
      </x:c>
      <x:c r="T38" s="54" t="n">
        <x:v>343.2</x:v>
      </x:c>
      <x:c r="U38" s="86" t="n">
        <x:f>IF(OR(S38="",T38=""),"",S38*T38)</x:f>
        <x:v>413.21279999999996</x:v>
      </x:c>
      <x:c r="V38" s="46" t="str">
        <x:v>DÜŞÜK</x:v>
      </x:c>
      <x:c r="W38" s="46" t="str"/>
      <x:c r="X38" s="50" t="str">
        <x:v>σ, φ, α∞, Λ ve Λ' JCA/JCAL başlangıç tahminidir; empedans tüpü/akış direnci ölçümüyle kalibre edilmelidir. Çerçeve limp/elastic seçimi önemlidir.</x:v>
      </x:c>
    </x:row>
    <x:row r="39">
      <x:c r="A39" s="46" t="str">
        <x:v>MW-STONE-D40-T75</x:v>
      </x:c>
      <x:c r="B39" s="46" t="str">
        <x:v>Mineral yün</x:v>
      </x:c>
      <x:c r="C39" s="46" t="str">
        <x:v>Taş yünü – genel</x:v>
      </x:c>
      <x:c r="D39" s="46" t="str">
        <x:v>GENERIC</x:v>
      </x:c>
      <x:c r="E39" s="46" t="str">
        <x:v>Stone wool 40 kg/m³</x:v>
      </x:c>
      <x:c r="F39" s="70" t="str">
        <x:v>JCA_STARTING_ESTIMATE</x:v>
      </x:c>
      <x:c r="G39" s="54" t="n">
        <x:v>75</x:v>
      </x:c>
      <x:c r="H39" s="54" t="n">
        <x:v>40</x:v>
      </x:c>
      <x:c r="I39" s="66" t="n">
        <x:v>10000</x:v>
      </x:c>
      <x:c r="J39" s="76" t="n">
        <x:f>IF(OR(G39="",I39=""),"",I39*G39/1000)</x:f>
        <x:v>750</x:v>
      </x:c>
      <x:c r="K39" s="62" t="n">
        <x:v>0.98</x:v>
      </x:c>
      <x:c r="L39" s="62" t="n">
        <x:v>1.05</x:v>
      </x:c>
      <x:c r="M39" s="66" t="n">
        <x:v>120</x:v>
      </x:c>
      <x:c r="N39" s="66" t="n">
        <x:v>240</x:v>
      </x:c>
      <x:c r="O39" s="54" t="n">
        <x:v>60</x:v>
      </x:c>
      <x:c r="P39" s="62" t="n">
        <x:v>0.1</x:v>
      </x:c>
      <x:c r="Q39" s="62" t="n">
        <x:v>0.2</x:v>
      </x:c>
      <x:c r="R39" s="54"/>
      <x:c r="S39" s="62" t="n">
        <x:v>1.204</x:v>
      </x:c>
      <x:c r="T39" s="54" t="n">
        <x:v>343.2</x:v>
      </x:c>
      <x:c r="U39" s="86" t="n">
        <x:f>IF(OR(S39="",T39=""),"",S39*T39)</x:f>
        <x:v>413.21279999999996</x:v>
      </x:c>
      <x:c r="V39" s="46" t="str">
        <x:v>DÜŞÜK</x:v>
      </x:c>
      <x:c r="W39" s="46" t="str"/>
      <x:c r="X39" s="50" t="str">
        <x:v>σ, φ, α∞, Λ ve Λ' JCA/JCAL başlangıç tahminidir; empedans tüpü/akış direnci ölçümüyle kalibre edilmelidir. Çerçeve limp/elastic seçimi önemlidir.</x:v>
      </x:c>
    </x:row>
    <x:row r="40">
      <x:c r="A40" s="46" t="str">
        <x:v>MW-STONE-D40-T80</x:v>
      </x:c>
      <x:c r="B40" s="46" t="str">
        <x:v>Mineral yün</x:v>
      </x:c>
      <x:c r="C40" s="46" t="str">
        <x:v>Taş yünü – genel</x:v>
      </x:c>
      <x:c r="D40" s="46" t="str">
        <x:v>GENERIC</x:v>
      </x:c>
      <x:c r="E40" s="46" t="str">
        <x:v>Stone wool 40 kg/m³</x:v>
      </x:c>
      <x:c r="F40" s="70" t="str">
        <x:v>JCA_STARTING_ESTIMATE</x:v>
      </x:c>
      <x:c r="G40" s="54" t="n">
        <x:v>80</x:v>
      </x:c>
      <x:c r="H40" s="54" t="n">
        <x:v>40</x:v>
      </x:c>
      <x:c r="I40" s="66" t="n">
        <x:v>10000</x:v>
      </x:c>
      <x:c r="J40" s="76" t="n">
        <x:f>IF(OR(G40="",I40=""),"",I40*G40/1000)</x:f>
        <x:v>800</x:v>
      </x:c>
      <x:c r="K40" s="62" t="n">
        <x:v>0.98</x:v>
      </x:c>
      <x:c r="L40" s="62" t="n">
        <x:v>1.05</x:v>
      </x:c>
      <x:c r="M40" s="66" t="n">
        <x:v>120</x:v>
      </x:c>
      <x:c r="N40" s="66" t="n">
        <x:v>240</x:v>
      </x:c>
      <x:c r="O40" s="54" t="n">
        <x:v>60</x:v>
      </x:c>
      <x:c r="P40" s="62" t="n">
        <x:v>0.1</x:v>
      </x:c>
      <x:c r="Q40" s="62" t="n">
        <x:v>0.2</x:v>
      </x:c>
      <x:c r="R40" s="54"/>
      <x:c r="S40" s="62" t="n">
        <x:v>1.204</x:v>
      </x:c>
      <x:c r="T40" s="54" t="n">
        <x:v>343.2</x:v>
      </x:c>
      <x:c r="U40" s="86" t="n">
        <x:f>IF(OR(S40="",T40=""),"",S40*T40)</x:f>
        <x:v>413.21279999999996</x:v>
      </x:c>
      <x:c r="V40" s="46" t="str">
        <x:v>DÜŞÜK</x:v>
      </x:c>
      <x:c r="W40" s="46" t="str"/>
      <x:c r="X40" s="50" t="str">
        <x:v>σ, φ, α∞, Λ ve Λ' JCA/JCAL başlangıç tahminidir; empedans tüpü/akış direnci ölçümüyle kalibre edilmelidir. Çerçeve limp/elastic seçimi önemlidir.</x:v>
      </x:c>
    </x:row>
    <x:row r="41">
      <x:c r="A41" s="46" t="str">
        <x:v>MW-STONE-D40-T100</x:v>
      </x:c>
      <x:c r="B41" s="46" t="str">
        <x:v>Mineral yün</x:v>
      </x:c>
      <x:c r="C41" s="46" t="str">
        <x:v>Taş yünü – genel</x:v>
      </x:c>
      <x:c r="D41" s="46" t="str">
        <x:v>GENERIC</x:v>
      </x:c>
      <x:c r="E41" s="46" t="str">
        <x:v>Stone wool 40 kg/m³</x:v>
      </x:c>
      <x:c r="F41" s="70" t="str">
        <x:v>JCA_STARTING_ESTIMATE</x:v>
      </x:c>
      <x:c r="G41" s="54" t="n">
        <x:v>100</x:v>
      </x:c>
      <x:c r="H41" s="54" t="n">
        <x:v>40</x:v>
      </x:c>
      <x:c r="I41" s="66" t="n">
        <x:v>10000</x:v>
      </x:c>
      <x:c r="J41" s="76" t="n">
        <x:f>IF(OR(G41="",I41=""),"",I41*G41/1000)</x:f>
        <x:v>1000</x:v>
      </x:c>
      <x:c r="K41" s="62" t="n">
        <x:v>0.98</x:v>
      </x:c>
      <x:c r="L41" s="62" t="n">
        <x:v>1.05</x:v>
      </x:c>
      <x:c r="M41" s="66" t="n">
        <x:v>120</x:v>
      </x:c>
      <x:c r="N41" s="66" t="n">
        <x:v>240</x:v>
      </x:c>
      <x:c r="O41" s="54" t="n">
        <x:v>60</x:v>
      </x:c>
      <x:c r="P41" s="62" t="n">
        <x:v>0.1</x:v>
      </x:c>
      <x:c r="Q41" s="62" t="n">
        <x:v>0.2</x:v>
      </x:c>
      <x:c r="R41" s="54"/>
      <x:c r="S41" s="62" t="n">
        <x:v>1.204</x:v>
      </x:c>
      <x:c r="T41" s="54" t="n">
        <x:v>343.2</x:v>
      </x:c>
      <x:c r="U41" s="86" t="n">
        <x:f>IF(OR(S41="",T41=""),"",S41*T41)</x:f>
        <x:v>413.21279999999996</x:v>
      </x:c>
      <x:c r="V41" s="46" t="str">
        <x:v>DÜŞÜK</x:v>
      </x:c>
      <x:c r="W41" s="46" t="str"/>
      <x:c r="X41" s="50" t="str">
        <x:v>σ, φ, α∞, Λ ve Λ' JCA/JCAL başlangıç tahminidir; empedans tüpü/akış direnci ölçümüyle kalibre edilmelidir. Çerçeve limp/elastic seçimi önemlidir.</x:v>
      </x:c>
    </x:row>
    <x:row r="42">
      <x:c r="A42" s="46" t="str">
        <x:v>MW-STONE-D40-T120</x:v>
      </x:c>
      <x:c r="B42" s="46" t="str">
        <x:v>Mineral yün</x:v>
      </x:c>
      <x:c r="C42" s="46" t="str">
        <x:v>Taş yünü – genel</x:v>
      </x:c>
      <x:c r="D42" s="46" t="str">
        <x:v>GENERIC</x:v>
      </x:c>
      <x:c r="E42" s="46" t="str">
        <x:v>Stone wool 40 kg/m³</x:v>
      </x:c>
      <x:c r="F42" s="70" t="str">
        <x:v>JCA_STARTING_ESTIMATE</x:v>
      </x:c>
      <x:c r="G42" s="54" t="n">
        <x:v>120</x:v>
      </x:c>
      <x:c r="H42" s="54" t="n">
        <x:v>40</x:v>
      </x:c>
      <x:c r="I42" s="66" t="n">
        <x:v>10000</x:v>
      </x:c>
      <x:c r="J42" s="76" t="n">
        <x:f>IF(OR(G42="",I42=""),"",I42*G42/1000)</x:f>
        <x:v>1200</x:v>
      </x:c>
      <x:c r="K42" s="62" t="n">
        <x:v>0.98</x:v>
      </x:c>
      <x:c r="L42" s="62" t="n">
        <x:v>1.05</x:v>
      </x:c>
      <x:c r="M42" s="66" t="n">
        <x:v>120</x:v>
      </x:c>
      <x:c r="N42" s="66" t="n">
        <x:v>240</x:v>
      </x:c>
      <x:c r="O42" s="54" t="n">
        <x:v>60</x:v>
      </x:c>
      <x:c r="P42" s="62" t="n">
        <x:v>0.1</x:v>
      </x:c>
      <x:c r="Q42" s="62" t="n">
        <x:v>0.2</x:v>
      </x:c>
      <x:c r="R42" s="54"/>
      <x:c r="S42" s="62" t="n">
        <x:v>1.204</x:v>
      </x:c>
      <x:c r="T42" s="54" t="n">
        <x:v>343.2</x:v>
      </x:c>
      <x:c r="U42" s="86" t="n">
        <x:f>IF(OR(S42="",T42=""),"",S42*T42)</x:f>
        <x:v>413.21279999999996</x:v>
      </x:c>
      <x:c r="V42" s="46" t="str">
        <x:v>DÜŞÜK</x:v>
      </x:c>
      <x:c r="W42" s="46" t="str"/>
      <x:c r="X42" s="50" t="str">
        <x:v>σ, φ, α∞, Λ ve Λ' JCA/JCAL başlangıç tahminidir; empedans tüpü/akış direnci ölçümüyle kalibre edilmelidir. Çerçeve limp/elastic seçimi önemlidir.</x:v>
      </x:c>
    </x:row>
    <x:row r="43">
      <x:c r="A43" s="46" t="str">
        <x:v>MW-STONE-D40-T150</x:v>
      </x:c>
      <x:c r="B43" s="46" t="str">
        <x:v>Mineral yün</x:v>
      </x:c>
      <x:c r="C43" s="46" t="str">
        <x:v>Taş yünü – genel</x:v>
      </x:c>
      <x:c r="D43" s="46" t="str">
        <x:v>GENERIC</x:v>
      </x:c>
      <x:c r="E43" s="46" t="str">
        <x:v>Stone wool 40 kg/m³</x:v>
      </x:c>
      <x:c r="F43" s="70" t="str">
        <x:v>JCA_STARTING_ESTIMATE</x:v>
      </x:c>
      <x:c r="G43" s="54" t="n">
        <x:v>150</x:v>
      </x:c>
      <x:c r="H43" s="54" t="n">
        <x:v>40</x:v>
      </x:c>
      <x:c r="I43" s="66" t="n">
        <x:v>10000</x:v>
      </x:c>
      <x:c r="J43" s="76" t="n">
        <x:f>IF(OR(G43="",I43=""),"",I43*G43/1000)</x:f>
        <x:v>1500</x:v>
      </x:c>
      <x:c r="K43" s="62" t="n">
        <x:v>0.98</x:v>
      </x:c>
      <x:c r="L43" s="62" t="n">
        <x:v>1.05</x:v>
      </x:c>
      <x:c r="M43" s="66" t="n">
        <x:v>120</x:v>
      </x:c>
      <x:c r="N43" s="66" t="n">
        <x:v>240</x:v>
      </x:c>
      <x:c r="O43" s="54" t="n">
        <x:v>60</x:v>
      </x:c>
      <x:c r="P43" s="62" t="n">
        <x:v>0.1</x:v>
      </x:c>
      <x:c r="Q43" s="62" t="n">
        <x:v>0.2</x:v>
      </x:c>
      <x:c r="R43" s="54"/>
      <x:c r="S43" s="62" t="n">
        <x:v>1.204</x:v>
      </x:c>
      <x:c r="T43" s="54" t="n">
        <x:v>343.2</x:v>
      </x:c>
      <x:c r="U43" s="86" t="n">
        <x:f>IF(OR(S43="",T43=""),"",S43*T43)</x:f>
        <x:v>413.21279999999996</x:v>
      </x:c>
      <x:c r="V43" s="46" t="str">
        <x:v>DÜŞÜK</x:v>
      </x:c>
      <x:c r="W43" s="46" t="str"/>
      <x:c r="X43" s="50" t="str">
        <x:v>σ, φ, α∞, Λ ve Λ' JCA/JCAL başlangıç tahminidir; empedans tüpü/akış direnci ölçümüyle kalibre edilmelidir. Çerçeve limp/elastic seçimi önemlidir.</x:v>
      </x:c>
    </x:row>
    <x:row r="44">
      <x:c r="A44" s="46" t="str">
        <x:v>MW-STONE-D45-T25</x:v>
      </x:c>
      <x:c r="B44" s="46" t="str">
        <x:v>Mineral yün</x:v>
      </x:c>
      <x:c r="C44" s="46" t="str">
        <x:v>Taş yünü – genel</x:v>
      </x:c>
      <x:c r="D44" s="46" t="str">
        <x:v>GENERIC</x:v>
      </x:c>
      <x:c r="E44" s="46" t="str">
        <x:v>Stone wool 45 kg/m³</x:v>
      </x:c>
      <x:c r="F44" s="70" t="str">
        <x:v>JCA_STARTING_ESTIMATE</x:v>
      </x:c>
      <x:c r="G44" s="54" t="n">
        <x:v>25</x:v>
      </x:c>
      <x:c r="H44" s="54" t="n">
        <x:v>45</x:v>
      </x:c>
      <x:c r="I44" s="66" t="n">
        <x:v>12000</x:v>
      </x:c>
      <x:c r="J44" s="76" t="n">
        <x:f>IF(OR(G44="",I44=""),"",I44*G44/1000)</x:f>
        <x:v>300</x:v>
      </x:c>
      <x:c r="K44" s="62" t="n">
        <x:v>0.98</x:v>
      </x:c>
      <x:c r="L44" s="62" t="n">
        <x:v>1.05</x:v>
      </x:c>
      <x:c r="M44" s="66" t="n">
        <x:v>120</x:v>
      </x:c>
      <x:c r="N44" s="66" t="n">
        <x:v>240</x:v>
      </x:c>
      <x:c r="O44" s="54" t="n">
        <x:v>80</x:v>
      </x:c>
      <x:c r="P44" s="62" t="n">
        <x:v>0.1</x:v>
      </x:c>
      <x:c r="Q44" s="62" t="n">
        <x:v>0.2</x:v>
      </x:c>
      <x:c r="R44" s="54"/>
      <x:c r="S44" s="62" t="n">
        <x:v>1.204</x:v>
      </x:c>
      <x:c r="T44" s="54" t="n">
        <x:v>343.2</x:v>
      </x:c>
      <x:c r="U44" s="86" t="n">
        <x:f>IF(OR(S44="",T44=""),"",S44*T44)</x:f>
        <x:v>413.21279999999996</x:v>
      </x:c>
      <x:c r="V44" s="46" t="str">
        <x:v>DÜŞÜK</x:v>
      </x:c>
      <x:c r="W44" s="46" t="str"/>
      <x:c r="X44" s="50" t="str">
        <x:v>σ, φ, α∞, Λ ve Λ' JCA/JCAL başlangıç tahminidir; empedans tüpü/akış direnci ölçümüyle kalibre edilmelidir. Çerçeve limp/elastic seçimi önemlidir.</x:v>
      </x:c>
    </x:row>
    <x:row r="45">
      <x:c r="A45" s="46" t="str">
        <x:v>MW-STONE-D45-T40</x:v>
      </x:c>
      <x:c r="B45" s="46" t="str">
        <x:v>Mineral yün</x:v>
      </x:c>
      <x:c r="C45" s="46" t="str">
        <x:v>Taş yünü – genel</x:v>
      </x:c>
      <x:c r="D45" s="46" t="str">
        <x:v>GENERIC</x:v>
      </x:c>
      <x:c r="E45" s="46" t="str">
        <x:v>Stone wool 45 kg/m³</x:v>
      </x:c>
      <x:c r="F45" s="70" t="str">
        <x:v>JCA_STARTING_ESTIMATE</x:v>
      </x:c>
      <x:c r="G45" s="54" t="n">
        <x:v>40</x:v>
      </x:c>
      <x:c r="H45" s="54" t="n">
        <x:v>45</x:v>
      </x:c>
      <x:c r="I45" s="66" t="n">
        <x:v>12000</x:v>
      </x:c>
      <x:c r="J45" s="76" t="n">
        <x:f>IF(OR(G45="",I45=""),"",I45*G45/1000)</x:f>
        <x:v>480</x:v>
      </x:c>
      <x:c r="K45" s="62" t="n">
        <x:v>0.98</x:v>
      </x:c>
      <x:c r="L45" s="62" t="n">
        <x:v>1.05</x:v>
      </x:c>
      <x:c r="M45" s="66" t="n">
        <x:v>120</x:v>
      </x:c>
      <x:c r="N45" s="66" t="n">
        <x:v>240</x:v>
      </x:c>
      <x:c r="O45" s="54" t="n">
        <x:v>80</x:v>
      </x:c>
      <x:c r="P45" s="62" t="n">
        <x:v>0.1</x:v>
      </x:c>
      <x:c r="Q45" s="62" t="n">
        <x:v>0.2</x:v>
      </x:c>
      <x:c r="R45" s="54"/>
      <x:c r="S45" s="62" t="n">
        <x:v>1.204</x:v>
      </x:c>
      <x:c r="T45" s="54" t="n">
        <x:v>343.2</x:v>
      </x:c>
      <x:c r="U45" s="86" t="n">
        <x:f>IF(OR(S45="",T45=""),"",S45*T45)</x:f>
        <x:v>413.21279999999996</x:v>
      </x:c>
      <x:c r="V45" s="46" t="str">
        <x:v>DÜŞÜK</x:v>
      </x:c>
      <x:c r="W45" s="46" t="str"/>
      <x:c r="X45" s="50" t="str">
        <x:v>σ, φ, α∞, Λ ve Λ' JCA/JCAL başlangıç tahminidir; empedans tüpü/akış direnci ölçümüyle kalibre edilmelidir. Çerçeve limp/elastic seçimi önemlidir.</x:v>
      </x:c>
    </x:row>
    <x:row r="46">
      <x:c r="A46" s="46" t="str">
        <x:v>MW-STONE-D45-T50</x:v>
      </x:c>
      <x:c r="B46" s="46" t="str">
        <x:v>Mineral yün</x:v>
      </x:c>
      <x:c r="C46" s="46" t="str">
        <x:v>Taş yünü – genel</x:v>
      </x:c>
      <x:c r="D46" s="46" t="str">
        <x:v>GENERIC</x:v>
      </x:c>
      <x:c r="E46" s="46" t="str">
        <x:v>Stone wool 45 kg/m³</x:v>
      </x:c>
      <x:c r="F46" s="70" t="str">
        <x:v>JCA_STARTING_ESTIMATE</x:v>
      </x:c>
      <x:c r="G46" s="54" t="n">
        <x:v>50</x:v>
      </x:c>
      <x:c r="H46" s="54" t="n">
        <x:v>45</x:v>
      </x:c>
      <x:c r="I46" s="66" t="n">
        <x:v>12000</x:v>
      </x:c>
      <x:c r="J46" s="76" t="n">
        <x:f>IF(OR(G46="",I46=""),"",I46*G46/1000)</x:f>
        <x:v>600</x:v>
      </x:c>
      <x:c r="K46" s="62" t="n">
        <x:v>0.98</x:v>
      </x:c>
      <x:c r="L46" s="62" t="n">
        <x:v>1.05</x:v>
      </x:c>
      <x:c r="M46" s="66" t="n">
        <x:v>120</x:v>
      </x:c>
      <x:c r="N46" s="66" t="n">
        <x:v>240</x:v>
      </x:c>
      <x:c r="O46" s="54" t="n">
        <x:v>80</x:v>
      </x:c>
      <x:c r="P46" s="62" t="n">
        <x:v>0.1</x:v>
      </x:c>
      <x:c r="Q46" s="62" t="n">
        <x:v>0.2</x:v>
      </x:c>
      <x:c r="R46" s="54"/>
      <x:c r="S46" s="62" t="n">
        <x:v>1.204</x:v>
      </x:c>
      <x:c r="T46" s="54" t="n">
        <x:v>343.2</x:v>
      </x:c>
      <x:c r="U46" s="86" t="n">
        <x:f>IF(OR(S46="",T46=""),"",S46*T46)</x:f>
        <x:v>413.21279999999996</x:v>
      </x:c>
      <x:c r="V46" s="46" t="str">
        <x:v>DÜŞÜK</x:v>
      </x:c>
      <x:c r="W46" s="46" t="str"/>
      <x:c r="X46" s="50" t="str">
        <x:v>σ, φ, α∞, Λ ve Λ' JCA/JCAL başlangıç tahminidir; empedans tüpü/akış direnci ölçümüyle kalibre edilmelidir. Çerçeve limp/elastic seçimi önemlidir.</x:v>
      </x:c>
    </x:row>
    <x:row r="47">
      <x:c r="A47" s="46" t="str">
        <x:v>MW-STONE-D45-T60</x:v>
      </x:c>
      <x:c r="B47" s="46" t="str">
        <x:v>Mineral yün</x:v>
      </x:c>
      <x:c r="C47" s="46" t="str">
        <x:v>Taş yünü – genel</x:v>
      </x:c>
      <x:c r="D47" s="46" t="str">
        <x:v>GENERIC</x:v>
      </x:c>
      <x:c r="E47" s="46" t="str">
        <x:v>Stone wool 45 kg/m³</x:v>
      </x:c>
      <x:c r="F47" s="70" t="str">
        <x:v>JCA_STARTING_ESTIMATE</x:v>
      </x:c>
      <x:c r="G47" s="54" t="n">
        <x:v>60</x:v>
      </x:c>
      <x:c r="H47" s="54" t="n">
        <x:v>45</x:v>
      </x:c>
      <x:c r="I47" s="66" t="n">
        <x:v>12000</x:v>
      </x:c>
      <x:c r="J47" s="76" t="n">
        <x:f>IF(OR(G47="",I47=""),"",I47*G47/1000)</x:f>
        <x:v>720</x:v>
      </x:c>
      <x:c r="K47" s="62" t="n">
        <x:v>0.98</x:v>
      </x:c>
      <x:c r="L47" s="62" t="n">
        <x:v>1.05</x:v>
      </x:c>
      <x:c r="M47" s="66" t="n">
        <x:v>120</x:v>
      </x:c>
      <x:c r="N47" s="66" t="n">
        <x:v>240</x:v>
      </x:c>
      <x:c r="O47" s="54" t="n">
        <x:v>80</x:v>
      </x:c>
      <x:c r="P47" s="62" t="n">
        <x:v>0.1</x:v>
      </x:c>
      <x:c r="Q47" s="62" t="n">
        <x:v>0.2</x:v>
      </x:c>
      <x:c r="R47" s="54"/>
      <x:c r="S47" s="62" t="n">
        <x:v>1.204</x:v>
      </x:c>
      <x:c r="T47" s="54" t="n">
        <x:v>343.2</x:v>
      </x:c>
      <x:c r="U47" s="86" t="n">
        <x:f>IF(OR(S47="",T47=""),"",S47*T47)</x:f>
        <x:v>413.21279999999996</x:v>
      </x:c>
      <x:c r="V47" s="46" t="str">
        <x:v>DÜŞÜK</x:v>
      </x:c>
      <x:c r="W47" s="46" t="str"/>
      <x:c r="X47" s="50" t="str">
        <x:v>σ, φ, α∞, Λ ve Λ' JCA/JCAL başlangıç tahminidir; empedans tüpü/akış direnci ölçümüyle kalibre edilmelidir. Çerçeve limp/elastic seçimi önemlidir.</x:v>
      </x:c>
    </x:row>
    <x:row r="48">
      <x:c r="A48" s="46" t="str">
        <x:v>MW-STONE-D45-T75</x:v>
      </x:c>
      <x:c r="B48" s="46" t="str">
        <x:v>Mineral yün</x:v>
      </x:c>
      <x:c r="C48" s="46" t="str">
        <x:v>Taş yünü – genel</x:v>
      </x:c>
      <x:c r="D48" s="46" t="str">
        <x:v>GENERIC</x:v>
      </x:c>
      <x:c r="E48" s="46" t="str">
        <x:v>Stone wool 45 kg/m³</x:v>
      </x:c>
      <x:c r="F48" s="70" t="str">
        <x:v>JCA_STARTING_ESTIMATE</x:v>
      </x:c>
      <x:c r="G48" s="54" t="n">
        <x:v>75</x:v>
      </x:c>
      <x:c r="H48" s="54" t="n">
        <x:v>45</x:v>
      </x:c>
      <x:c r="I48" s="66" t="n">
        <x:v>12000</x:v>
      </x:c>
      <x:c r="J48" s="76" t="n">
        <x:f>IF(OR(G48="",I48=""),"",I48*G48/1000)</x:f>
        <x:v>900</x:v>
      </x:c>
      <x:c r="K48" s="62" t="n">
        <x:v>0.98</x:v>
      </x:c>
      <x:c r="L48" s="62" t="n">
        <x:v>1.05</x:v>
      </x:c>
      <x:c r="M48" s="66" t="n">
        <x:v>120</x:v>
      </x:c>
      <x:c r="N48" s="66" t="n">
        <x:v>240</x:v>
      </x:c>
      <x:c r="O48" s="54" t="n">
        <x:v>80</x:v>
      </x:c>
      <x:c r="P48" s="62" t="n">
        <x:v>0.1</x:v>
      </x:c>
      <x:c r="Q48" s="62" t="n">
        <x:v>0.2</x:v>
      </x:c>
      <x:c r="R48" s="54"/>
      <x:c r="S48" s="62" t="n">
        <x:v>1.204</x:v>
      </x:c>
      <x:c r="T48" s="54" t="n">
        <x:v>343.2</x:v>
      </x:c>
      <x:c r="U48" s="86" t="n">
        <x:f>IF(OR(S48="",T48=""),"",S48*T48)</x:f>
        <x:v>413.21279999999996</x:v>
      </x:c>
      <x:c r="V48" s="46" t="str">
        <x:v>DÜŞÜK</x:v>
      </x:c>
      <x:c r="W48" s="46" t="str"/>
      <x:c r="X48" s="50" t="str">
        <x:v>σ, φ, α∞, Λ ve Λ' JCA/JCAL başlangıç tahminidir; empedans tüpü/akış direnci ölçümüyle kalibre edilmelidir. Çerçeve limp/elastic seçimi önemlidir.</x:v>
      </x:c>
    </x:row>
    <x:row r="49">
      <x:c r="A49" s="46" t="str">
        <x:v>MW-STONE-D45-T80</x:v>
      </x:c>
      <x:c r="B49" s="46" t="str">
        <x:v>Mineral yün</x:v>
      </x:c>
      <x:c r="C49" s="46" t="str">
        <x:v>Taş yünü – genel</x:v>
      </x:c>
      <x:c r="D49" s="46" t="str">
        <x:v>GENERIC</x:v>
      </x:c>
      <x:c r="E49" s="46" t="str">
        <x:v>Stone wool 45 kg/m³</x:v>
      </x:c>
      <x:c r="F49" s="70" t="str">
        <x:v>JCA_STARTING_ESTIMATE</x:v>
      </x:c>
      <x:c r="G49" s="54" t="n">
        <x:v>80</x:v>
      </x:c>
      <x:c r="H49" s="54" t="n">
        <x:v>45</x:v>
      </x:c>
      <x:c r="I49" s="66" t="n">
        <x:v>12000</x:v>
      </x:c>
      <x:c r="J49" s="76" t="n">
        <x:f>IF(OR(G49="",I49=""),"",I49*G49/1000)</x:f>
        <x:v>960</x:v>
      </x:c>
      <x:c r="K49" s="62" t="n">
        <x:v>0.98</x:v>
      </x:c>
      <x:c r="L49" s="62" t="n">
        <x:v>1.05</x:v>
      </x:c>
      <x:c r="M49" s="66" t="n">
        <x:v>120</x:v>
      </x:c>
      <x:c r="N49" s="66" t="n">
        <x:v>240</x:v>
      </x:c>
      <x:c r="O49" s="54" t="n">
        <x:v>80</x:v>
      </x:c>
      <x:c r="P49" s="62" t="n">
        <x:v>0.1</x:v>
      </x:c>
      <x:c r="Q49" s="62" t="n">
        <x:v>0.2</x:v>
      </x:c>
      <x:c r="R49" s="54"/>
      <x:c r="S49" s="62" t="n">
        <x:v>1.204</x:v>
      </x:c>
      <x:c r="T49" s="54" t="n">
        <x:v>343.2</x:v>
      </x:c>
      <x:c r="U49" s="86" t="n">
        <x:f>IF(OR(S49="",T49=""),"",S49*T49)</x:f>
        <x:v>413.21279999999996</x:v>
      </x:c>
      <x:c r="V49" s="46" t="str">
        <x:v>DÜŞÜK</x:v>
      </x:c>
      <x:c r="W49" s="46" t="str"/>
      <x:c r="X49" s="50" t="str">
        <x:v>σ, φ, α∞, Λ ve Λ' JCA/JCAL başlangıç tahminidir; empedans tüpü/akış direnci ölçümüyle kalibre edilmelidir. Çerçeve limp/elastic seçimi önemlidir.</x:v>
      </x:c>
    </x:row>
    <x:row r="50">
      <x:c r="A50" s="46" t="str">
        <x:v>MW-STONE-D45-T100</x:v>
      </x:c>
      <x:c r="B50" s="46" t="str">
        <x:v>Mineral yün</x:v>
      </x:c>
      <x:c r="C50" s="46" t="str">
        <x:v>Taş yünü – genel</x:v>
      </x:c>
      <x:c r="D50" s="46" t="str">
        <x:v>GENERIC</x:v>
      </x:c>
      <x:c r="E50" s="46" t="str">
        <x:v>Stone wool 45 kg/m³</x:v>
      </x:c>
      <x:c r="F50" s="70" t="str">
        <x:v>JCA_STARTING_ESTIMATE</x:v>
      </x:c>
      <x:c r="G50" s="54" t="n">
        <x:v>100</x:v>
      </x:c>
      <x:c r="H50" s="54" t="n">
        <x:v>45</x:v>
      </x:c>
      <x:c r="I50" s="66" t="n">
        <x:v>12000</x:v>
      </x:c>
      <x:c r="J50" s="76" t="n">
        <x:f>IF(OR(G50="",I50=""),"",I50*G50/1000)</x:f>
        <x:v>1200</x:v>
      </x:c>
      <x:c r="K50" s="62" t="n">
        <x:v>0.98</x:v>
      </x:c>
      <x:c r="L50" s="62" t="n">
        <x:v>1.05</x:v>
      </x:c>
      <x:c r="M50" s="66" t="n">
        <x:v>120</x:v>
      </x:c>
      <x:c r="N50" s="66" t="n">
        <x:v>240</x:v>
      </x:c>
      <x:c r="O50" s="54" t="n">
        <x:v>80</x:v>
      </x:c>
      <x:c r="P50" s="62" t="n">
        <x:v>0.1</x:v>
      </x:c>
      <x:c r="Q50" s="62" t="n">
        <x:v>0.2</x:v>
      </x:c>
      <x:c r="R50" s="54"/>
      <x:c r="S50" s="62" t="n">
        <x:v>1.204</x:v>
      </x:c>
      <x:c r="T50" s="54" t="n">
        <x:v>343.2</x:v>
      </x:c>
      <x:c r="U50" s="86" t="n">
        <x:f>IF(OR(S50="",T50=""),"",S50*T50)</x:f>
        <x:v>413.21279999999996</x:v>
      </x:c>
      <x:c r="V50" s="46" t="str">
        <x:v>DÜŞÜK</x:v>
      </x:c>
      <x:c r="W50" s="46" t="str"/>
      <x:c r="X50" s="50" t="str">
        <x:v>σ, φ, α∞, Λ ve Λ' JCA/JCAL başlangıç tahminidir; empedans tüpü/akış direnci ölçümüyle kalibre edilmelidir. Çerçeve limp/elastic seçimi önemlidir.</x:v>
      </x:c>
    </x:row>
    <x:row r="51">
      <x:c r="A51" s="46" t="str">
        <x:v>MW-STONE-D45-T120</x:v>
      </x:c>
      <x:c r="B51" s="46" t="str">
        <x:v>Mineral yün</x:v>
      </x:c>
      <x:c r="C51" s="46" t="str">
        <x:v>Taş yünü – genel</x:v>
      </x:c>
      <x:c r="D51" s="46" t="str">
        <x:v>GENERIC</x:v>
      </x:c>
      <x:c r="E51" s="46" t="str">
        <x:v>Stone wool 45 kg/m³</x:v>
      </x:c>
      <x:c r="F51" s="70" t="str">
        <x:v>JCA_STARTING_ESTIMATE</x:v>
      </x:c>
      <x:c r="G51" s="54" t="n">
        <x:v>120</x:v>
      </x:c>
      <x:c r="H51" s="54" t="n">
        <x:v>45</x:v>
      </x:c>
      <x:c r="I51" s="66" t="n">
        <x:v>12000</x:v>
      </x:c>
      <x:c r="J51" s="76" t="n">
        <x:f>IF(OR(G51="",I51=""),"",I51*G51/1000)</x:f>
        <x:v>1440</x:v>
      </x:c>
      <x:c r="K51" s="62" t="n">
        <x:v>0.98</x:v>
      </x:c>
      <x:c r="L51" s="62" t="n">
        <x:v>1.05</x:v>
      </x:c>
      <x:c r="M51" s="66" t="n">
        <x:v>120</x:v>
      </x:c>
      <x:c r="N51" s="66" t="n">
        <x:v>240</x:v>
      </x:c>
      <x:c r="O51" s="54" t="n">
        <x:v>80</x:v>
      </x:c>
      <x:c r="P51" s="62" t="n">
        <x:v>0.1</x:v>
      </x:c>
      <x:c r="Q51" s="62" t="n">
        <x:v>0.2</x:v>
      </x:c>
      <x:c r="R51" s="54"/>
      <x:c r="S51" s="62" t="n">
        <x:v>1.204</x:v>
      </x:c>
      <x:c r="T51" s="54" t="n">
        <x:v>343.2</x:v>
      </x:c>
      <x:c r="U51" s="86" t="n">
        <x:f>IF(OR(S51="",T51=""),"",S51*T51)</x:f>
        <x:v>413.21279999999996</x:v>
      </x:c>
      <x:c r="V51" s="46" t="str">
        <x:v>DÜŞÜK</x:v>
      </x:c>
      <x:c r="W51" s="46" t="str"/>
      <x:c r="X51" s="50" t="str">
        <x:v>σ, φ, α∞, Λ ve Λ' JCA/JCAL başlangıç tahminidir; empedans tüpü/akış direnci ölçümüyle kalibre edilmelidir. Çerçeve limp/elastic seçimi önemlidir.</x:v>
      </x:c>
    </x:row>
    <x:row r="52">
      <x:c r="A52" s="46" t="str">
        <x:v>MW-STONE-D45-T150</x:v>
      </x:c>
      <x:c r="B52" s="46" t="str">
        <x:v>Mineral yün</x:v>
      </x:c>
      <x:c r="C52" s="46" t="str">
        <x:v>Taş yünü – genel</x:v>
      </x:c>
      <x:c r="D52" s="46" t="str">
        <x:v>GENERIC</x:v>
      </x:c>
      <x:c r="E52" s="46" t="str">
        <x:v>Stone wool 45 kg/m³</x:v>
      </x:c>
      <x:c r="F52" s="70" t="str">
        <x:v>JCA_STARTING_ESTIMATE</x:v>
      </x:c>
      <x:c r="G52" s="54" t="n">
        <x:v>150</x:v>
      </x:c>
      <x:c r="H52" s="54" t="n">
        <x:v>45</x:v>
      </x:c>
      <x:c r="I52" s="66" t="n">
        <x:v>12000</x:v>
      </x:c>
      <x:c r="J52" s="76" t="n">
        <x:f>IF(OR(G52="",I52=""),"",I52*G52/1000)</x:f>
        <x:v>1800</x:v>
      </x:c>
      <x:c r="K52" s="62" t="n">
        <x:v>0.98</x:v>
      </x:c>
      <x:c r="L52" s="62" t="n">
        <x:v>1.05</x:v>
      </x:c>
      <x:c r="M52" s="66" t="n">
        <x:v>120</x:v>
      </x:c>
      <x:c r="N52" s="66" t="n">
        <x:v>240</x:v>
      </x:c>
      <x:c r="O52" s="54" t="n">
        <x:v>80</x:v>
      </x:c>
      <x:c r="P52" s="62" t="n">
        <x:v>0.1</x:v>
      </x:c>
      <x:c r="Q52" s="62" t="n">
        <x:v>0.2</x:v>
      </x:c>
      <x:c r="R52" s="54"/>
      <x:c r="S52" s="62" t="n">
        <x:v>1.204</x:v>
      </x:c>
      <x:c r="T52" s="54" t="n">
        <x:v>343.2</x:v>
      </x:c>
      <x:c r="U52" s="86" t="n">
        <x:f>IF(OR(S52="",T52=""),"",S52*T52)</x:f>
        <x:v>413.21279999999996</x:v>
      </x:c>
      <x:c r="V52" s="46" t="str">
        <x:v>DÜŞÜK</x:v>
      </x:c>
      <x:c r="W52" s="46" t="str"/>
      <x:c r="X52" s="50" t="str">
        <x:v>σ, φ, α∞, Λ ve Λ' JCA/JCAL başlangıç tahminidir; empedans tüpü/akış direnci ölçümüyle kalibre edilmelidir. Çerçeve limp/elastic seçimi önemlidir.</x:v>
      </x:c>
    </x:row>
    <x:row r="53">
      <x:c r="A53" s="46" t="str">
        <x:v>MW-STONE-D50-T25</x:v>
      </x:c>
      <x:c r="B53" s="46" t="str">
        <x:v>Mineral yün</x:v>
      </x:c>
      <x:c r="C53" s="46" t="str">
        <x:v>Taş yünü – genel</x:v>
      </x:c>
      <x:c r="D53" s="46" t="str">
        <x:v>GENERIC</x:v>
      </x:c>
      <x:c r="E53" s="46" t="str">
        <x:v>Stone wool 50 kg/m³</x:v>
      </x:c>
      <x:c r="F53" s="70" t="str">
        <x:v>JCA_STARTING_ESTIMATE</x:v>
      </x:c>
      <x:c r="G53" s="54" t="n">
        <x:v>25</x:v>
      </x:c>
      <x:c r="H53" s="54" t="n">
        <x:v>50</x:v>
      </x:c>
      <x:c r="I53" s="66" t="n">
        <x:v>15000</x:v>
      </x:c>
      <x:c r="J53" s="76" t="n">
        <x:f>IF(OR(G53="",I53=""),"",I53*G53/1000)</x:f>
        <x:v>375</x:v>
      </x:c>
      <x:c r="K53" s="62" t="n">
        <x:v>0.98</x:v>
      </x:c>
      <x:c r="L53" s="62" t="n">
        <x:v>1.05</x:v>
      </x:c>
      <x:c r="M53" s="66" t="n">
        <x:v>120</x:v>
      </x:c>
      <x:c r="N53" s="66" t="n">
        <x:v>240</x:v>
      </x:c>
      <x:c r="O53" s="54" t="n">
        <x:v>100</x:v>
      </x:c>
      <x:c r="P53" s="62" t="n">
        <x:v>0.1</x:v>
      </x:c>
      <x:c r="Q53" s="62" t="n">
        <x:v>0.2</x:v>
      </x:c>
      <x:c r="R53" s="54"/>
      <x:c r="S53" s="62" t="n">
        <x:v>1.204</x:v>
      </x:c>
      <x:c r="T53" s="54" t="n">
        <x:v>343.2</x:v>
      </x:c>
      <x:c r="U53" s="86" t="n">
        <x:f>IF(OR(S53="",T53=""),"",S53*T53)</x:f>
        <x:v>413.21279999999996</x:v>
      </x:c>
      <x:c r="V53" s="46" t="str">
        <x:v>DÜŞÜK</x:v>
      </x:c>
      <x:c r="W53" s="46" t="str"/>
      <x:c r="X53" s="50" t="str">
        <x:v>σ, φ, α∞, Λ ve Λ' JCA/JCAL başlangıç tahminidir; empedans tüpü/akış direnci ölçümüyle kalibre edilmelidir. Çerçeve limp/elastic seçimi önemlidir.</x:v>
      </x:c>
    </x:row>
    <x:row r="54">
      <x:c r="A54" s="46" t="str">
        <x:v>MW-STONE-D50-T40</x:v>
      </x:c>
      <x:c r="B54" s="46" t="str">
        <x:v>Mineral yün</x:v>
      </x:c>
      <x:c r="C54" s="46" t="str">
        <x:v>Taş yünü – genel</x:v>
      </x:c>
      <x:c r="D54" s="46" t="str">
        <x:v>GENERIC</x:v>
      </x:c>
      <x:c r="E54" s="46" t="str">
        <x:v>Stone wool 50 kg/m³</x:v>
      </x:c>
      <x:c r="F54" s="70" t="str">
        <x:v>JCA_STARTING_ESTIMATE</x:v>
      </x:c>
      <x:c r="G54" s="54" t="n">
        <x:v>40</x:v>
      </x:c>
      <x:c r="H54" s="54" t="n">
        <x:v>50</x:v>
      </x:c>
      <x:c r="I54" s="66" t="n">
        <x:v>15000</x:v>
      </x:c>
      <x:c r="J54" s="76" t="n">
        <x:f>IF(OR(G54="",I54=""),"",I54*G54/1000)</x:f>
        <x:v>600</x:v>
      </x:c>
      <x:c r="K54" s="62" t="n">
        <x:v>0.98</x:v>
      </x:c>
      <x:c r="L54" s="62" t="n">
        <x:v>1.05</x:v>
      </x:c>
      <x:c r="M54" s="66" t="n">
        <x:v>120</x:v>
      </x:c>
      <x:c r="N54" s="66" t="n">
        <x:v>240</x:v>
      </x:c>
      <x:c r="O54" s="54" t="n">
        <x:v>100</x:v>
      </x:c>
      <x:c r="P54" s="62" t="n">
        <x:v>0.1</x:v>
      </x:c>
      <x:c r="Q54" s="62" t="n">
        <x:v>0.2</x:v>
      </x:c>
      <x:c r="R54" s="54"/>
      <x:c r="S54" s="62" t="n">
        <x:v>1.204</x:v>
      </x:c>
      <x:c r="T54" s="54" t="n">
        <x:v>343.2</x:v>
      </x:c>
      <x:c r="U54" s="86" t="n">
        <x:f>IF(OR(S54="",T54=""),"",S54*T54)</x:f>
        <x:v>413.21279999999996</x:v>
      </x:c>
      <x:c r="V54" s="46" t="str">
        <x:v>DÜŞÜK</x:v>
      </x:c>
      <x:c r="W54" s="46" t="str"/>
      <x:c r="X54" s="50" t="str">
        <x:v>σ, φ, α∞, Λ ve Λ' JCA/JCAL başlangıç tahminidir; empedans tüpü/akış direnci ölçümüyle kalibre edilmelidir. Çerçeve limp/elastic seçimi önemlidir.</x:v>
      </x:c>
    </x:row>
    <x:row r="55">
      <x:c r="A55" s="46" t="str">
        <x:v>MW-STONE-D50-T50</x:v>
      </x:c>
      <x:c r="B55" s="46" t="str">
        <x:v>Mineral yün</x:v>
      </x:c>
      <x:c r="C55" s="46" t="str">
        <x:v>Taş yünü – genel</x:v>
      </x:c>
      <x:c r="D55" s="46" t="str">
        <x:v>GENERIC</x:v>
      </x:c>
      <x:c r="E55" s="46" t="str">
        <x:v>Stone wool 50 kg/m³</x:v>
      </x:c>
      <x:c r="F55" s="70" t="str">
        <x:v>JCA_STARTING_ESTIMATE</x:v>
      </x:c>
      <x:c r="G55" s="54" t="n">
        <x:v>50</x:v>
      </x:c>
      <x:c r="H55" s="54" t="n">
        <x:v>50</x:v>
      </x:c>
      <x:c r="I55" s="66" t="n">
        <x:v>15000</x:v>
      </x:c>
      <x:c r="J55" s="76" t="n">
        <x:f>IF(OR(G55="",I55=""),"",I55*G55/1000)</x:f>
        <x:v>750</x:v>
      </x:c>
      <x:c r="K55" s="62" t="n">
        <x:v>0.98</x:v>
      </x:c>
      <x:c r="L55" s="62" t="n">
        <x:v>1.05</x:v>
      </x:c>
      <x:c r="M55" s="66" t="n">
        <x:v>120</x:v>
      </x:c>
      <x:c r="N55" s="66" t="n">
        <x:v>240</x:v>
      </x:c>
      <x:c r="O55" s="54" t="n">
        <x:v>100</x:v>
      </x:c>
      <x:c r="P55" s="62" t="n">
        <x:v>0.1</x:v>
      </x:c>
      <x:c r="Q55" s="62" t="n">
        <x:v>0.2</x:v>
      </x:c>
      <x:c r="R55" s="54"/>
      <x:c r="S55" s="62" t="n">
        <x:v>1.204</x:v>
      </x:c>
      <x:c r="T55" s="54" t="n">
        <x:v>343.2</x:v>
      </x:c>
      <x:c r="U55" s="86" t="n">
        <x:f>IF(OR(S55="",T55=""),"",S55*T55)</x:f>
        <x:v>413.21279999999996</x:v>
      </x:c>
      <x:c r="V55" s="46" t="str">
        <x:v>DÜŞÜK</x:v>
      </x:c>
      <x:c r="W55" s="46" t="str"/>
      <x:c r="X55" s="50" t="str">
        <x:v>σ, φ, α∞, Λ ve Λ' JCA/JCAL başlangıç tahminidir; empedans tüpü/akış direnci ölçümüyle kalibre edilmelidir. Çerçeve limp/elastic seçimi önemlidir.</x:v>
      </x:c>
    </x:row>
    <x:row r="56">
      <x:c r="A56" s="46" t="str">
        <x:v>MW-STONE-D50-T60</x:v>
      </x:c>
      <x:c r="B56" s="46" t="str">
        <x:v>Mineral yün</x:v>
      </x:c>
      <x:c r="C56" s="46" t="str">
        <x:v>Taş yünü – genel</x:v>
      </x:c>
      <x:c r="D56" s="46" t="str">
        <x:v>GENERIC</x:v>
      </x:c>
      <x:c r="E56" s="46" t="str">
        <x:v>Stone wool 50 kg/m³</x:v>
      </x:c>
      <x:c r="F56" s="70" t="str">
        <x:v>JCA_STARTING_ESTIMATE</x:v>
      </x:c>
      <x:c r="G56" s="54" t="n">
        <x:v>60</x:v>
      </x:c>
      <x:c r="H56" s="54" t="n">
        <x:v>50</x:v>
      </x:c>
      <x:c r="I56" s="66" t="n">
        <x:v>15000</x:v>
      </x:c>
      <x:c r="J56" s="76" t="n">
        <x:f>IF(OR(G56="",I56=""),"",I56*G56/1000)</x:f>
        <x:v>900</x:v>
      </x:c>
      <x:c r="K56" s="62" t="n">
        <x:v>0.98</x:v>
      </x:c>
      <x:c r="L56" s="62" t="n">
        <x:v>1.05</x:v>
      </x:c>
      <x:c r="M56" s="66" t="n">
        <x:v>120</x:v>
      </x:c>
      <x:c r="N56" s="66" t="n">
        <x:v>240</x:v>
      </x:c>
      <x:c r="O56" s="54" t="n">
        <x:v>100</x:v>
      </x:c>
      <x:c r="P56" s="62" t="n">
        <x:v>0.1</x:v>
      </x:c>
      <x:c r="Q56" s="62" t="n">
        <x:v>0.2</x:v>
      </x:c>
      <x:c r="R56" s="54"/>
      <x:c r="S56" s="62" t="n">
        <x:v>1.204</x:v>
      </x:c>
      <x:c r="T56" s="54" t="n">
        <x:v>343.2</x:v>
      </x:c>
      <x:c r="U56" s="86" t="n">
        <x:f>IF(OR(S56="",T56=""),"",S56*T56)</x:f>
        <x:v>413.21279999999996</x:v>
      </x:c>
      <x:c r="V56" s="46" t="str">
        <x:v>DÜŞÜK</x:v>
      </x:c>
      <x:c r="W56" s="46" t="str"/>
      <x:c r="X56" s="50" t="str">
        <x:v>σ, φ, α∞, Λ ve Λ' JCA/JCAL başlangıç tahminidir; empedans tüpü/akış direnci ölçümüyle kalibre edilmelidir. Çerçeve limp/elastic seçimi önemlidir.</x:v>
      </x:c>
    </x:row>
    <x:row r="57">
      <x:c r="A57" s="46" t="str">
        <x:v>MW-STONE-D50-T75</x:v>
      </x:c>
      <x:c r="B57" s="46" t="str">
        <x:v>Mineral yün</x:v>
      </x:c>
      <x:c r="C57" s="46" t="str">
        <x:v>Taş yünü – genel</x:v>
      </x:c>
      <x:c r="D57" s="46" t="str">
        <x:v>GENERIC</x:v>
      </x:c>
      <x:c r="E57" s="46" t="str">
        <x:v>Stone wool 50 kg/m³</x:v>
      </x:c>
      <x:c r="F57" s="70" t="str">
        <x:v>JCA_STARTING_ESTIMATE</x:v>
      </x:c>
      <x:c r="G57" s="54" t="n">
        <x:v>75</x:v>
      </x:c>
      <x:c r="H57" s="54" t="n">
        <x:v>50</x:v>
      </x:c>
      <x:c r="I57" s="66" t="n">
        <x:v>15000</x:v>
      </x:c>
      <x:c r="J57" s="76" t="n">
        <x:f>IF(OR(G57="",I57=""),"",I57*G57/1000)</x:f>
        <x:v>1125</x:v>
      </x:c>
      <x:c r="K57" s="62" t="n">
        <x:v>0.98</x:v>
      </x:c>
      <x:c r="L57" s="62" t="n">
        <x:v>1.05</x:v>
      </x:c>
      <x:c r="M57" s="66" t="n">
        <x:v>120</x:v>
      </x:c>
      <x:c r="N57" s="66" t="n">
        <x:v>240</x:v>
      </x:c>
      <x:c r="O57" s="54" t="n">
        <x:v>100</x:v>
      </x:c>
      <x:c r="P57" s="62" t="n">
        <x:v>0.1</x:v>
      </x:c>
      <x:c r="Q57" s="62" t="n">
        <x:v>0.2</x:v>
      </x:c>
      <x:c r="R57" s="54"/>
      <x:c r="S57" s="62" t="n">
        <x:v>1.204</x:v>
      </x:c>
      <x:c r="T57" s="54" t="n">
        <x:v>343.2</x:v>
      </x:c>
      <x:c r="U57" s="86" t="n">
        <x:f>IF(OR(S57="",T57=""),"",S57*T57)</x:f>
        <x:v>413.21279999999996</x:v>
      </x:c>
      <x:c r="V57" s="46" t="str">
        <x:v>DÜŞÜK</x:v>
      </x:c>
      <x:c r="W57" s="46" t="str"/>
      <x:c r="X57" s="50" t="str">
        <x:v>σ, φ, α∞, Λ ve Λ' JCA/JCAL başlangıç tahminidir; empedans tüpü/akış direnci ölçümüyle kalibre edilmelidir. Çerçeve limp/elastic seçimi önemlidir.</x:v>
      </x:c>
    </x:row>
    <x:row r="58">
      <x:c r="A58" s="46" t="str">
        <x:v>MW-STONE-D50-T80</x:v>
      </x:c>
      <x:c r="B58" s="46" t="str">
        <x:v>Mineral yün</x:v>
      </x:c>
      <x:c r="C58" s="46" t="str">
        <x:v>Taş yünü – genel</x:v>
      </x:c>
      <x:c r="D58" s="46" t="str">
        <x:v>GENERIC</x:v>
      </x:c>
      <x:c r="E58" s="46" t="str">
        <x:v>Stone wool 50 kg/m³</x:v>
      </x:c>
      <x:c r="F58" s="70" t="str">
        <x:v>JCA_STARTING_ESTIMATE</x:v>
      </x:c>
      <x:c r="G58" s="54" t="n">
        <x:v>80</x:v>
      </x:c>
      <x:c r="H58" s="54" t="n">
        <x:v>50</x:v>
      </x:c>
      <x:c r="I58" s="66" t="n">
        <x:v>15000</x:v>
      </x:c>
      <x:c r="J58" s="76" t="n">
        <x:f>IF(OR(G58="",I58=""),"",I58*G58/1000)</x:f>
        <x:v>1200</x:v>
      </x:c>
      <x:c r="K58" s="62" t="n">
        <x:v>0.98</x:v>
      </x:c>
      <x:c r="L58" s="62" t="n">
        <x:v>1.05</x:v>
      </x:c>
      <x:c r="M58" s="66" t="n">
        <x:v>120</x:v>
      </x:c>
      <x:c r="N58" s="66" t="n">
        <x:v>240</x:v>
      </x:c>
      <x:c r="O58" s="54" t="n">
        <x:v>100</x:v>
      </x:c>
      <x:c r="P58" s="62" t="n">
        <x:v>0.1</x:v>
      </x:c>
      <x:c r="Q58" s="62" t="n">
        <x:v>0.2</x:v>
      </x:c>
      <x:c r="R58" s="54"/>
      <x:c r="S58" s="62" t="n">
        <x:v>1.204</x:v>
      </x:c>
      <x:c r="T58" s="54" t="n">
        <x:v>343.2</x:v>
      </x:c>
      <x:c r="U58" s="86" t="n">
        <x:f>IF(OR(S58="",T58=""),"",S58*T58)</x:f>
        <x:v>413.21279999999996</x:v>
      </x:c>
      <x:c r="V58" s="46" t="str">
        <x:v>DÜŞÜK</x:v>
      </x:c>
      <x:c r="W58" s="46" t="str"/>
      <x:c r="X58" s="50" t="str">
        <x:v>σ, φ, α∞, Λ ve Λ' JCA/JCAL başlangıç tahminidir; empedans tüpü/akış direnci ölçümüyle kalibre edilmelidir. Çerçeve limp/elastic seçimi önemlidir.</x:v>
      </x:c>
    </x:row>
    <x:row r="59">
      <x:c r="A59" s="46" t="str">
        <x:v>MW-STONE-D50-T100</x:v>
      </x:c>
      <x:c r="B59" s="46" t="str">
        <x:v>Mineral yün</x:v>
      </x:c>
      <x:c r="C59" s="46" t="str">
        <x:v>Taş yünü – genel</x:v>
      </x:c>
      <x:c r="D59" s="46" t="str">
        <x:v>GENERIC</x:v>
      </x:c>
      <x:c r="E59" s="46" t="str">
        <x:v>Stone wool 50 kg/m³</x:v>
      </x:c>
      <x:c r="F59" s="70" t="str">
        <x:v>JCA_STARTING_ESTIMATE</x:v>
      </x:c>
      <x:c r="G59" s="54" t="n">
        <x:v>100</x:v>
      </x:c>
      <x:c r="H59" s="54" t="n">
        <x:v>50</x:v>
      </x:c>
      <x:c r="I59" s="66" t="n">
        <x:v>15000</x:v>
      </x:c>
      <x:c r="J59" s="76" t="n">
        <x:f>IF(OR(G59="",I59=""),"",I59*G59/1000)</x:f>
        <x:v>1500</x:v>
      </x:c>
      <x:c r="K59" s="62" t="n">
        <x:v>0.98</x:v>
      </x:c>
      <x:c r="L59" s="62" t="n">
        <x:v>1.05</x:v>
      </x:c>
      <x:c r="M59" s="66" t="n">
        <x:v>120</x:v>
      </x:c>
      <x:c r="N59" s="66" t="n">
        <x:v>240</x:v>
      </x:c>
      <x:c r="O59" s="54" t="n">
        <x:v>100</x:v>
      </x:c>
      <x:c r="P59" s="62" t="n">
        <x:v>0.1</x:v>
      </x:c>
      <x:c r="Q59" s="62" t="n">
        <x:v>0.2</x:v>
      </x:c>
      <x:c r="R59" s="54"/>
      <x:c r="S59" s="62" t="n">
        <x:v>1.204</x:v>
      </x:c>
      <x:c r="T59" s="54" t="n">
        <x:v>343.2</x:v>
      </x:c>
      <x:c r="U59" s="86" t="n">
        <x:f>IF(OR(S59="",T59=""),"",S59*T59)</x:f>
        <x:v>413.21279999999996</x:v>
      </x:c>
      <x:c r="V59" s="46" t="str">
        <x:v>DÜŞÜK</x:v>
      </x:c>
      <x:c r="W59" s="46" t="str"/>
      <x:c r="X59" s="50" t="str">
        <x:v>σ, φ, α∞, Λ ve Λ' JCA/JCAL başlangıç tahminidir; empedans tüpü/akış direnci ölçümüyle kalibre edilmelidir. Çerçeve limp/elastic seçimi önemlidir.</x:v>
      </x:c>
    </x:row>
    <x:row r="60">
      <x:c r="A60" s="46" t="str">
        <x:v>MW-STONE-D50-T120</x:v>
      </x:c>
      <x:c r="B60" s="46" t="str">
        <x:v>Mineral yün</x:v>
      </x:c>
      <x:c r="C60" s="46" t="str">
        <x:v>Taş yünü – genel</x:v>
      </x:c>
      <x:c r="D60" s="46" t="str">
        <x:v>GENERIC</x:v>
      </x:c>
      <x:c r="E60" s="46" t="str">
        <x:v>Stone wool 50 kg/m³</x:v>
      </x:c>
      <x:c r="F60" s="70" t="str">
        <x:v>JCA_STARTING_ESTIMATE</x:v>
      </x:c>
      <x:c r="G60" s="54" t="n">
        <x:v>120</x:v>
      </x:c>
      <x:c r="H60" s="54" t="n">
        <x:v>50</x:v>
      </x:c>
      <x:c r="I60" s="66" t="n">
        <x:v>15000</x:v>
      </x:c>
      <x:c r="J60" s="76" t="n">
        <x:f>IF(OR(G60="",I60=""),"",I60*G60/1000)</x:f>
        <x:v>1800</x:v>
      </x:c>
      <x:c r="K60" s="62" t="n">
        <x:v>0.98</x:v>
      </x:c>
      <x:c r="L60" s="62" t="n">
        <x:v>1.05</x:v>
      </x:c>
      <x:c r="M60" s="66" t="n">
        <x:v>120</x:v>
      </x:c>
      <x:c r="N60" s="66" t="n">
        <x:v>240</x:v>
      </x:c>
      <x:c r="O60" s="54" t="n">
        <x:v>100</x:v>
      </x:c>
      <x:c r="P60" s="62" t="n">
        <x:v>0.1</x:v>
      </x:c>
      <x:c r="Q60" s="62" t="n">
        <x:v>0.2</x:v>
      </x:c>
      <x:c r="R60" s="54"/>
      <x:c r="S60" s="62" t="n">
        <x:v>1.204</x:v>
      </x:c>
      <x:c r="T60" s="54" t="n">
        <x:v>343.2</x:v>
      </x:c>
      <x:c r="U60" s="86" t="n">
        <x:f>IF(OR(S60="",T60=""),"",S60*T60)</x:f>
        <x:v>413.21279999999996</x:v>
      </x:c>
      <x:c r="V60" s="46" t="str">
        <x:v>DÜŞÜK</x:v>
      </x:c>
      <x:c r="W60" s="46" t="str"/>
      <x:c r="X60" s="50" t="str">
        <x:v>σ, φ, α∞, Λ ve Λ' JCA/JCAL başlangıç tahminidir; empedans tüpü/akış direnci ölçümüyle kalibre edilmelidir. Çerçeve limp/elastic seçimi önemlidir.</x:v>
      </x:c>
    </x:row>
    <x:row r="61">
      <x:c r="A61" s="46" t="str">
        <x:v>MW-STONE-D50-T150</x:v>
      </x:c>
      <x:c r="B61" s="46" t="str">
        <x:v>Mineral yün</x:v>
      </x:c>
      <x:c r="C61" s="46" t="str">
        <x:v>Taş yünü – genel</x:v>
      </x:c>
      <x:c r="D61" s="46" t="str">
        <x:v>GENERIC</x:v>
      </x:c>
      <x:c r="E61" s="46" t="str">
        <x:v>Stone wool 50 kg/m³</x:v>
      </x:c>
      <x:c r="F61" s="70" t="str">
        <x:v>JCA_STARTING_ESTIMATE</x:v>
      </x:c>
      <x:c r="G61" s="54" t="n">
        <x:v>150</x:v>
      </x:c>
      <x:c r="H61" s="54" t="n">
        <x:v>50</x:v>
      </x:c>
      <x:c r="I61" s="66" t="n">
        <x:v>15000</x:v>
      </x:c>
      <x:c r="J61" s="76" t="n">
        <x:f>IF(OR(G61="",I61=""),"",I61*G61/1000)</x:f>
        <x:v>2250</x:v>
      </x:c>
      <x:c r="K61" s="62" t="n">
        <x:v>0.98</x:v>
      </x:c>
      <x:c r="L61" s="62" t="n">
        <x:v>1.05</x:v>
      </x:c>
      <x:c r="M61" s="66" t="n">
        <x:v>120</x:v>
      </x:c>
      <x:c r="N61" s="66" t="n">
        <x:v>240</x:v>
      </x:c>
      <x:c r="O61" s="54" t="n">
        <x:v>100</x:v>
      </x:c>
      <x:c r="P61" s="62" t="n">
        <x:v>0.1</x:v>
      </x:c>
      <x:c r="Q61" s="62" t="n">
        <x:v>0.2</x:v>
      </x:c>
      <x:c r="R61" s="54"/>
      <x:c r="S61" s="62" t="n">
        <x:v>1.204</x:v>
      </x:c>
      <x:c r="T61" s="54" t="n">
        <x:v>343.2</x:v>
      </x:c>
      <x:c r="U61" s="86" t="n">
        <x:f>IF(OR(S61="",T61=""),"",S61*T61)</x:f>
        <x:v>413.21279999999996</x:v>
      </x:c>
      <x:c r="V61" s="46" t="str">
        <x:v>DÜŞÜK</x:v>
      </x:c>
      <x:c r="W61" s="46" t="str"/>
      <x:c r="X61" s="50" t="str">
        <x:v>σ, φ, α∞, Λ ve Λ' JCA/JCAL başlangıç tahminidir; empedans tüpü/akış direnci ölçümüyle kalibre edilmelidir. Çerçeve limp/elastic seçimi önemlidir.</x:v>
      </x:c>
    </x:row>
    <x:row r="62">
      <x:c r="A62" s="46" t="str">
        <x:v>MW-STONE-D60-T25</x:v>
      </x:c>
      <x:c r="B62" s="46" t="str">
        <x:v>Mineral yün</x:v>
      </x:c>
      <x:c r="C62" s="46" t="str">
        <x:v>Taş yünü – genel</x:v>
      </x:c>
      <x:c r="D62" s="46" t="str">
        <x:v>GENERIC</x:v>
      </x:c>
      <x:c r="E62" s="46" t="str">
        <x:v>Stone wool 60 kg/m³</x:v>
      </x:c>
      <x:c r="F62" s="70" t="str">
        <x:v>JCA_STARTING_ESTIMATE</x:v>
      </x:c>
      <x:c r="G62" s="54" t="n">
        <x:v>25</x:v>
      </x:c>
      <x:c r="H62" s="54" t="n">
        <x:v>60</x:v>
      </x:c>
      <x:c r="I62" s="66" t="n">
        <x:v>18000</x:v>
      </x:c>
      <x:c r="J62" s="76" t="n">
        <x:f>IF(OR(G62="",I62=""),"",I62*G62/1000)</x:f>
        <x:v>450</x:v>
      </x:c>
      <x:c r="K62" s="62" t="n">
        <x:v>0.97</x:v>
      </x:c>
      <x:c r="L62" s="62" t="n">
        <x:v>1.08</x:v>
      </x:c>
      <x:c r="M62" s="66" t="n">
        <x:v>90</x:v>
      </x:c>
      <x:c r="N62" s="66" t="n">
        <x:v>180</x:v>
      </x:c>
      <x:c r="O62" s="54" t="n">
        <x:v>150</x:v>
      </x:c>
      <x:c r="P62" s="62" t="n">
        <x:v>0.1</x:v>
      </x:c>
      <x:c r="Q62" s="62" t="n">
        <x:v>0.2</x:v>
      </x:c>
      <x:c r="R62" s="54"/>
      <x:c r="S62" s="62" t="n">
        <x:v>1.204</x:v>
      </x:c>
      <x:c r="T62" s="54" t="n">
        <x:v>343.2</x:v>
      </x:c>
      <x:c r="U62" s="86" t="n">
        <x:f>IF(OR(S62="",T62=""),"",S62*T62)</x:f>
        <x:v>413.21279999999996</x:v>
      </x:c>
      <x:c r="V62" s="46" t="str">
        <x:v>DÜŞÜK</x:v>
      </x:c>
      <x:c r="W62" s="46" t="str"/>
      <x:c r="X62" s="50" t="str">
        <x:v>σ, φ, α∞, Λ ve Λ' JCA/JCAL başlangıç tahminidir; empedans tüpü/akış direnci ölçümüyle kalibre edilmelidir. Çerçeve limp/elastic seçimi önemlidir.</x:v>
      </x:c>
    </x:row>
    <x:row r="63">
      <x:c r="A63" s="46" t="str">
        <x:v>MW-STONE-D60-T40</x:v>
      </x:c>
      <x:c r="B63" s="46" t="str">
        <x:v>Mineral yün</x:v>
      </x:c>
      <x:c r="C63" s="46" t="str">
        <x:v>Taş yünü – genel</x:v>
      </x:c>
      <x:c r="D63" s="46" t="str">
        <x:v>GENERIC</x:v>
      </x:c>
      <x:c r="E63" s="46" t="str">
        <x:v>Stone wool 60 kg/m³</x:v>
      </x:c>
      <x:c r="F63" s="70" t="str">
        <x:v>JCA_STARTING_ESTIMATE</x:v>
      </x:c>
      <x:c r="G63" s="54" t="n">
        <x:v>40</x:v>
      </x:c>
      <x:c r="H63" s="54" t="n">
        <x:v>60</x:v>
      </x:c>
      <x:c r="I63" s="66" t="n">
        <x:v>18000</x:v>
      </x:c>
      <x:c r="J63" s="76" t="n">
        <x:f>IF(OR(G63="",I63=""),"",I63*G63/1000)</x:f>
        <x:v>720</x:v>
      </x:c>
      <x:c r="K63" s="62" t="n">
        <x:v>0.97</x:v>
      </x:c>
      <x:c r="L63" s="62" t="n">
        <x:v>1.08</x:v>
      </x:c>
      <x:c r="M63" s="66" t="n">
        <x:v>90</x:v>
      </x:c>
      <x:c r="N63" s="66" t="n">
        <x:v>180</x:v>
      </x:c>
      <x:c r="O63" s="54" t="n">
        <x:v>150</x:v>
      </x:c>
      <x:c r="P63" s="62" t="n">
        <x:v>0.1</x:v>
      </x:c>
      <x:c r="Q63" s="62" t="n">
        <x:v>0.2</x:v>
      </x:c>
      <x:c r="R63" s="54"/>
      <x:c r="S63" s="62" t="n">
        <x:v>1.204</x:v>
      </x:c>
      <x:c r="T63" s="54" t="n">
        <x:v>343.2</x:v>
      </x:c>
      <x:c r="U63" s="86" t="n">
        <x:f>IF(OR(S63="",T63=""),"",S63*T63)</x:f>
        <x:v>413.21279999999996</x:v>
      </x:c>
      <x:c r="V63" s="46" t="str">
        <x:v>DÜŞÜK</x:v>
      </x:c>
      <x:c r="W63" s="46" t="str"/>
      <x:c r="X63" s="50" t="str">
        <x:v>σ, φ, α∞, Λ ve Λ' JCA/JCAL başlangıç tahminidir; empedans tüpü/akış direnci ölçümüyle kalibre edilmelidir. Çerçeve limp/elastic seçimi önemlidir.</x:v>
      </x:c>
    </x:row>
    <x:row r="64">
      <x:c r="A64" s="46" t="str">
        <x:v>MW-STONE-D60-T50</x:v>
      </x:c>
      <x:c r="B64" s="46" t="str">
        <x:v>Mineral yün</x:v>
      </x:c>
      <x:c r="C64" s="46" t="str">
        <x:v>Taş yünü – genel</x:v>
      </x:c>
      <x:c r="D64" s="46" t="str">
        <x:v>GENERIC</x:v>
      </x:c>
      <x:c r="E64" s="46" t="str">
        <x:v>Stone wool 60 kg/m³</x:v>
      </x:c>
      <x:c r="F64" s="70" t="str">
        <x:v>JCA_STARTING_ESTIMATE</x:v>
      </x:c>
      <x:c r="G64" s="54" t="n">
        <x:v>50</x:v>
      </x:c>
      <x:c r="H64" s="54" t="n">
        <x:v>60</x:v>
      </x:c>
      <x:c r="I64" s="66" t="n">
        <x:v>18000</x:v>
      </x:c>
      <x:c r="J64" s="76" t="n">
        <x:f>IF(OR(G64="",I64=""),"",I64*G64/1000)</x:f>
        <x:v>900</x:v>
      </x:c>
      <x:c r="K64" s="62" t="n">
        <x:v>0.97</x:v>
      </x:c>
      <x:c r="L64" s="62" t="n">
        <x:v>1.08</x:v>
      </x:c>
      <x:c r="M64" s="66" t="n">
        <x:v>90</x:v>
      </x:c>
      <x:c r="N64" s="66" t="n">
        <x:v>180</x:v>
      </x:c>
      <x:c r="O64" s="54" t="n">
        <x:v>150</x:v>
      </x:c>
      <x:c r="P64" s="62" t="n">
        <x:v>0.1</x:v>
      </x:c>
      <x:c r="Q64" s="62" t="n">
        <x:v>0.2</x:v>
      </x:c>
      <x:c r="R64" s="54"/>
      <x:c r="S64" s="62" t="n">
        <x:v>1.204</x:v>
      </x:c>
      <x:c r="T64" s="54" t="n">
        <x:v>343.2</x:v>
      </x:c>
      <x:c r="U64" s="86" t="n">
        <x:f>IF(OR(S64="",T64=""),"",S64*T64)</x:f>
        <x:v>413.21279999999996</x:v>
      </x:c>
      <x:c r="V64" s="46" t="str">
        <x:v>DÜŞÜK</x:v>
      </x:c>
      <x:c r="W64" s="46" t="str"/>
      <x:c r="X64" s="50" t="str">
        <x:v>σ, φ, α∞, Λ ve Λ' JCA/JCAL başlangıç tahminidir; empedans tüpü/akış direnci ölçümüyle kalibre edilmelidir. Çerçeve limp/elastic seçimi önemlidir.</x:v>
      </x:c>
    </x:row>
    <x:row r="65">
      <x:c r="A65" s="46" t="str">
        <x:v>MW-STONE-D60-T60</x:v>
      </x:c>
      <x:c r="B65" s="46" t="str">
        <x:v>Mineral yün</x:v>
      </x:c>
      <x:c r="C65" s="46" t="str">
        <x:v>Taş yünü – genel</x:v>
      </x:c>
      <x:c r="D65" s="46" t="str">
        <x:v>GENERIC</x:v>
      </x:c>
      <x:c r="E65" s="46" t="str">
        <x:v>Stone wool 60 kg/m³</x:v>
      </x:c>
      <x:c r="F65" s="70" t="str">
        <x:v>JCA_STARTING_ESTIMATE</x:v>
      </x:c>
      <x:c r="G65" s="54" t="n">
        <x:v>60</x:v>
      </x:c>
      <x:c r="H65" s="54" t="n">
        <x:v>60</x:v>
      </x:c>
      <x:c r="I65" s="66" t="n">
        <x:v>18000</x:v>
      </x:c>
      <x:c r="J65" s="76" t="n">
        <x:f>IF(OR(G65="",I65=""),"",I65*G65/1000)</x:f>
        <x:v>1080</x:v>
      </x:c>
      <x:c r="K65" s="62" t="n">
        <x:v>0.97</x:v>
      </x:c>
      <x:c r="L65" s="62" t="n">
        <x:v>1.08</x:v>
      </x:c>
      <x:c r="M65" s="66" t="n">
        <x:v>90</x:v>
      </x:c>
      <x:c r="N65" s="66" t="n">
        <x:v>180</x:v>
      </x:c>
      <x:c r="O65" s="54" t="n">
        <x:v>150</x:v>
      </x:c>
      <x:c r="P65" s="62" t="n">
        <x:v>0.1</x:v>
      </x:c>
      <x:c r="Q65" s="62" t="n">
        <x:v>0.2</x:v>
      </x:c>
      <x:c r="R65" s="54"/>
      <x:c r="S65" s="62" t="n">
        <x:v>1.204</x:v>
      </x:c>
      <x:c r="T65" s="54" t="n">
        <x:v>343.2</x:v>
      </x:c>
      <x:c r="U65" s="86" t="n">
        <x:f>IF(OR(S65="",T65=""),"",S65*T65)</x:f>
        <x:v>413.21279999999996</x:v>
      </x:c>
      <x:c r="V65" s="46" t="str">
        <x:v>DÜŞÜK</x:v>
      </x:c>
      <x:c r="W65" s="46" t="str"/>
      <x:c r="X65" s="50" t="str">
        <x:v>σ, φ, α∞, Λ ve Λ' JCA/JCAL başlangıç tahminidir; empedans tüpü/akış direnci ölçümüyle kalibre edilmelidir. Çerçeve limp/elastic seçimi önemlidir.</x:v>
      </x:c>
    </x:row>
    <x:row r="66">
      <x:c r="A66" s="46" t="str">
        <x:v>MW-STONE-D60-T75</x:v>
      </x:c>
      <x:c r="B66" s="46" t="str">
        <x:v>Mineral yün</x:v>
      </x:c>
      <x:c r="C66" s="46" t="str">
        <x:v>Taş yünü – genel</x:v>
      </x:c>
      <x:c r="D66" s="46" t="str">
        <x:v>GENERIC</x:v>
      </x:c>
      <x:c r="E66" s="46" t="str">
        <x:v>Stone wool 60 kg/m³</x:v>
      </x:c>
      <x:c r="F66" s="70" t="str">
        <x:v>JCA_STARTING_ESTIMATE</x:v>
      </x:c>
      <x:c r="G66" s="54" t="n">
        <x:v>75</x:v>
      </x:c>
      <x:c r="H66" s="54" t="n">
        <x:v>60</x:v>
      </x:c>
      <x:c r="I66" s="66" t="n">
        <x:v>18000</x:v>
      </x:c>
      <x:c r="J66" s="76" t="n">
        <x:f>IF(OR(G66="",I66=""),"",I66*G66/1000)</x:f>
        <x:v>1350</x:v>
      </x:c>
      <x:c r="K66" s="62" t="n">
        <x:v>0.97</x:v>
      </x:c>
      <x:c r="L66" s="62" t="n">
        <x:v>1.08</x:v>
      </x:c>
      <x:c r="M66" s="66" t="n">
        <x:v>90</x:v>
      </x:c>
      <x:c r="N66" s="66" t="n">
        <x:v>180</x:v>
      </x:c>
      <x:c r="O66" s="54" t="n">
        <x:v>150</x:v>
      </x:c>
      <x:c r="P66" s="62" t="n">
        <x:v>0.1</x:v>
      </x:c>
      <x:c r="Q66" s="62" t="n">
        <x:v>0.2</x:v>
      </x:c>
      <x:c r="R66" s="54"/>
      <x:c r="S66" s="62" t="n">
        <x:v>1.204</x:v>
      </x:c>
      <x:c r="T66" s="54" t="n">
        <x:v>343.2</x:v>
      </x:c>
      <x:c r="U66" s="86" t="n">
        <x:f>IF(OR(S66="",T66=""),"",S66*T66)</x:f>
        <x:v>413.21279999999996</x:v>
      </x:c>
      <x:c r="V66" s="46" t="str">
        <x:v>DÜŞÜK</x:v>
      </x:c>
      <x:c r="W66" s="46" t="str"/>
      <x:c r="X66" s="50" t="str">
        <x:v>σ, φ, α∞, Λ ve Λ' JCA/JCAL başlangıç tahminidir; empedans tüpü/akış direnci ölçümüyle kalibre edilmelidir. Çerçeve limp/elastic seçimi önemlidir.</x:v>
      </x:c>
    </x:row>
    <x:row r="67">
      <x:c r="A67" s="46" t="str">
        <x:v>MW-STONE-D60-T80</x:v>
      </x:c>
      <x:c r="B67" s="46" t="str">
        <x:v>Mineral yün</x:v>
      </x:c>
      <x:c r="C67" s="46" t="str">
        <x:v>Taş yünü – genel</x:v>
      </x:c>
      <x:c r="D67" s="46" t="str">
        <x:v>GENERIC</x:v>
      </x:c>
      <x:c r="E67" s="46" t="str">
        <x:v>Stone wool 60 kg/m³</x:v>
      </x:c>
      <x:c r="F67" s="70" t="str">
        <x:v>JCA_STARTING_ESTIMATE</x:v>
      </x:c>
      <x:c r="G67" s="54" t="n">
        <x:v>80</x:v>
      </x:c>
      <x:c r="H67" s="54" t="n">
        <x:v>60</x:v>
      </x:c>
      <x:c r="I67" s="66" t="n">
        <x:v>18000</x:v>
      </x:c>
      <x:c r="J67" s="76" t="n">
        <x:f>IF(OR(G67="",I67=""),"",I67*G67/1000)</x:f>
        <x:v>1440</x:v>
      </x:c>
      <x:c r="K67" s="62" t="n">
        <x:v>0.97</x:v>
      </x:c>
      <x:c r="L67" s="62" t="n">
        <x:v>1.08</x:v>
      </x:c>
      <x:c r="M67" s="66" t="n">
        <x:v>90</x:v>
      </x:c>
      <x:c r="N67" s="66" t="n">
        <x:v>180</x:v>
      </x:c>
      <x:c r="O67" s="54" t="n">
        <x:v>150</x:v>
      </x:c>
      <x:c r="P67" s="62" t="n">
        <x:v>0.1</x:v>
      </x:c>
      <x:c r="Q67" s="62" t="n">
        <x:v>0.2</x:v>
      </x:c>
      <x:c r="R67" s="54"/>
      <x:c r="S67" s="62" t="n">
        <x:v>1.204</x:v>
      </x:c>
      <x:c r="T67" s="54" t="n">
        <x:v>343.2</x:v>
      </x:c>
      <x:c r="U67" s="86" t="n">
        <x:f>IF(OR(S67="",T67=""),"",S67*T67)</x:f>
        <x:v>413.21279999999996</x:v>
      </x:c>
      <x:c r="V67" s="46" t="str">
        <x:v>DÜŞÜK</x:v>
      </x:c>
      <x:c r="W67" s="46" t="str"/>
      <x:c r="X67" s="50" t="str">
        <x:v>σ, φ, α∞, Λ ve Λ' JCA/JCAL başlangıç tahminidir; empedans tüpü/akış direnci ölçümüyle kalibre edilmelidir. Çerçeve limp/elastic seçimi önemlidir.</x:v>
      </x:c>
    </x:row>
    <x:row r="68">
      <x:c r="A68" s="46" t="str">
        <x:v>MW-STONE-D60-T100</x:v>
      </x:c>
      <x:c r="B68" s="46" t="str">
        <x:v>Mineral yün</x:v>
      </x:c>
      <x:c r="C68" s="46" t="str">
        <x:v>Taş yünü – genel</x:v>
      </x:c>
      <x:c r="D68" s="46" t="str">
        <x:v>GENERIC</x:v>
      </x:c>
      <x:c r="E68" s="46" t="str">
        <x:v>Stone wool 60 kg/m³</x:v>
      </x:c>
      <x:c r="F68" s="70" t="str">
        <x:v>JCA_STARTING_ESTIMATE</x:v>
      </x:c>
      <x:c r="G68" s="54" t="n">
        <x:v>100</x:v>
      </x:c>
      <x:c r="H68" s="54" t="n">
        <x:v>60</x:v>
      </x:c>
      <x:c r="I68" s="66" t="n">
        <x:v>18000</x:v>
      </x:c>
      <x:c r="J68" s="76" t="n">
        <x:f>IF(OR(G68="",I68=""),"",I68*G68/1000)</x:f>
        <x:v>1800</x:v>
      </x:c>
      <x:c r="K68" s="62" t="n">
        <x:v>0.97</x:v>
      </x:c>
      <x:c r="L68" s="62" t="n">
        <x:v>1.08</x:v>
      </x:c>
      <x:c r="M68" s="66" t="n">
        <x:v>90</x:v>
      </x:c>
      <x:c r="N68" s="66" t="n">
        <x:v>180</x:v>
      </x:c>
      <x:c r="O68" s="54" t="n">
        <x:v>150</x:v>
      </x:c>
      <x:c r="P68" s="62" t="n">
        <x:v>0.1</x:v>
      </x:c>
      <x:c r="Q68" s="62" t="n">
        <x:v>0.2</x:v>
      </x:c>
      <x:c r="R68" s="54"/>
      <x:c r="S68" s="62" t="n">
        <x:v>1.204</x:v>
      </x:c>
      <x:c r="T68" s="54" t="n">
        <x:v>343.2</x:v>
      </x:c>
      <x:c r="U68" s="86" t="n">
        <x:f>IF(OR(S68="",T68=""),"",S68*T68)</x:f>
        <x:v>413.21279999999996</x:v>
      </x:c>
      <x:c r="V68" s="46" t="str">
        <x:v>DÜŞÜK</x:v>
      </x:c>
      <x:c r="W68" s="46" t="str"/>
      <x:c r="X68" s="50" t="str">
        <x:v>σ, φ, α∞, Λ ve Λ' JCA/JCAL başlangıç tahminidir; empedans tüpü/akış direnci ölçümüyle kalibre edilmelidir. Çerçeve limp/elastic seçimi önemlidir.</x:v>
      </x:c>
    </x:row>
    <x:row r="69">
      <x:c r="A69" s="46" t="str">
        <x:v>MW-STONE-D60-T120</x:v>
      </x:c>
      <x:c r="B69" s="46" t="str">
        <x:v>Mineral yün</x:v>
      </x:c>
      <x:c r="C69" s="46" t="str">
        <x:v>Taş yünü – genel</x:v>
      </x:c>
      <x:c r="D69" s="46" t="str">
        <x:v>GENERIC</x:v>
      </x:c>
      <x:c r="E69" s="46" t="str">
        <x:v>Stone wool 60 kg/m³</x:v>
      </x:c>
      <x:c r="F69" s="70" t="str">
        <x:v>JCA_STARTING_ESTIMATE</x:v>
      </x:c>
      <x:c r="G69" s="54" t="n">
        <x:v>120</x:v>
      </x:c>
      <x:c r="H69" s="54" t="n">
        <x:v>60</x:v>
      </x:c>
      <x:c r="I69" s="66" t="n">
        <x:v>18000</x:v>
      </x:c>
      <x:c r="J69" s="76" t="n">
        <x:f>IF(OR(G69="",I69=""),"",I69*G69/1000)</x:f>
        <x:v>2160</x:v>
      </x:c>
      <x:c r="K69" s="62" t="n">
        <x:v>0.97</x:v>
      </x:c>
      <x:c r="L69" s="62" t="n">
        <x:v>1.08</x:v>
      </x:c>
      <x:c r="M69" s="66" t="n">
        <x:v>90</x:v>
      </x:c>
      <x:c r="N69" s="66" t="n">
        <x:v>180</x:v>
      </x:c>
      <x:c r="O69" s="54" t="n">
        <x:v>150</x:v>
      </x:c>
      <x:c r="P69" s="62" t="n">
        <x:v>0.1</x:v>
      </x:c>
      <x:c r="Q69" s="62" t="n">
        <x:v>0.2</x:v>
      </x:c>
      <x:c r="R69" s="54"/>
      <x:c r="S69" s="62" t="n">
        <x:v>1.204</x:v>
      </x:c>
      <x:c r="T69" s="54" t="n">
        <x:v>343.2</x:v>
      </x:c>
      <x:c r="U69" s="86" t="n">
        <x:f>IF(OR(S69="",T69=""),"",S69*T69)</x:f>
        <x:v>413.21279999999996</x:v>
      </x:c>
      <x:c r="V69" s="46" t="str">
        <x:v>DÜŞÜK</x:v>
      </x:c>
      <x:c r="W69" s="46" t="str"/>
      <x:c r="X69" s="50" t="str">
        <x:v>σ, φ, α∞, Λ ve Λ' JCA/JCAL başlangıç tahminidir; empedans tüpü/akış direnci ölçümüyle kalibre edilmelidir. Çerçeve limp/elastic seçimi önemlidir.</x:v>
      </x:c>
    </x:row>
    <x:row r="70">
      <x:c r="A70" s="46" t="str">
        <x:v>MW-STONE-D60-T150</x:v>
      </x:c>
      <x:c r="B70" s="46" t="str">
        <x:v>Mineral yün</x:v>
      </x:c>
      <x:c r="C70" s="46" t="str">
        <x:v>Taş yünü – genel</x:v>
      </x:c>
      <x:c r="D70" s="46" t="str">
        <x:v>GENERIC</x:v>
      </x:c>
      <x:c r="E70" s="46" t="str">
        <x:v>Stone wool 60 kg/m³</x:v>
      </x:c>
      <x:c r="F70" s="70" t="str">
        <x:v>JCA_STARTING_ESTIMATE</x:v>
      </x:c>
      <x:c r="G70" s="54" t="n">
        <x:v>150</x:v>
      </x:c>
      <x:c r="H70" s="54" t="n">
        <x:v>60</x:v>
      </x:c>
      <x:c r="I70" s="66" t="n">
        <x:v>18000</x:v>
      </x:c>
      <x:c r="J70" s="76" t="n">
        <x:f>IF(OR(G70="",I70=""),"",I70*G70/1000)</x:f>
        <x:v>2700</x:v>
      </x:c>
      <x:c r="K70" s="62" t="n">
        <x:v>0.97</x:v>
      </x:c>
      <x:c r="L70" s="62" t="n">
        <x:v>1.08</x:v>
      </x:c>
      <x:c r="M70" s="66" t="n">
        <x:v>90</x:v>
      </x:c>
      <x:c r="N70" s="66" t="n">
        <x:v>180</x:v>
      </x:c>
      <x:c r="O70" s="54" t="n">
        <x:v>150</x:v>
      </x:c>
      <x:c r="P70" s="62" t="n">
        <x:v>0.1</x:v>
      </x:c>
      <x:c r="Q70" s="62" t="n">
        <x:v>0.2</x:v>
      </x:c>
      <x:c r="R70" s="54"/>
      <x:c r="S70" s="62" t="n">
        <x:v>1.204</x:v>
      </x:c>
      <x:c r="T70" s="54" t="n">
        <x:v>343.2</x:v>
      </x:c>
      <x:c r="U70" s="86" t="n">
        <x:f>IF(OR(S70="",T70=""),"",S70*T70)</x:f>
        <x:v>413.21279999999996</x:v>
      </x:c>
      <x:c r="V70" s="46" t="str">
        <x:v>DÜŞÜK</x:v>
      </x:c>
      <x:c r="W70" s="46" t="str"/>
      <x:c r="X70" s="50" t="str">
        <x:v>σ, φ, α∞, Λ ve Λ' JCA/JCAL başlangıç tahminidir; empedans tüpü/akış direnci ölçümüyle kalibre edilmelidir. Çerçeve limp/elastic seçimi önemlidir.</x:v>
      </x:c>
    </x:row>
    <x:row r="71">
      <x:c r="A71" s="46" t="str">
        <x:v>MW-STONE-D70-T25</x:v>
      </x:c>
      <x:c r="B71" s="46" t="str">
        <x:v>Mineral yün</x:v>
      </x:c>
      <x:c r="C71" s="46" t="str">
        <x:v>Taş yünü – genel</x:v>
      </x:c>
      <x:c r="D71" s="46" t="str">
        <x:v>GENERIC</x:v>
      </x:c>
      <x:c r="E71" s="46" t="str">
        <x:v>Stone wool 70 kg/m³</x:v>
      </x:c>
      <x:c r="F71" s="70" t="str">
        <x:v>JCA_STARTING_ESTIMATE</x:v>
      </x:c>
      <x:c r="G71" s="54" t="n">
        <x:v>25</x:v>
      </x:c>
      <x:c r="H71" s="54" t="n">
        <x:v>70</x:v>
      </x:c>
      <x:c r="I71" s="66" t="n">
        <x:v>22000</x:v>
      </x:c>
      <x:c r="J71" s="76" t="n">
        <x:f>IF(OR(G71="",I71=""),"",I71*G71/1000)</x:f>
        <x:v>550</x:v>
      </x:c>
      <x:c r="K71" s="62" t="n">
        <x:v>0.97</x:v>
      </x:c>
      <x:c r="L71" s="62" t="n">
        <x:v>1.08</x:v>
      </x:c>
      <x:c r="M71" s="66" t="n">
        <x:v>90</x:v>
      </x:c>
      <x:c r="N71" s="66" t="n">
        <x:v>180</x:v>
      </x:c>
      <x:c r="O71" s="54" t="n">
        <x:v>220</x:v>
      </x:c>
      <x:c r="P71" s="62" t="n">
        <x:v>0.1</x:v>
      </x:c>
      <x:c r="Q71" s="62" t="n">
        <x:v>0.2</x:v>
      </x:c>
      <x:c r="R71" s="54"/>
      <x:c r="S71" s="62" t="n">
        <x:v>1.204</x:v>
      </x:c>
      <x:c r="T71" s="54" t="n">
        <x:v>343.2</x:v>
      </x:c>
      <x:c r="U71" s="86" t="n">
        <x:f>IF(OR(S71="",T71=""),"",S71*T71)</x:f>
        <x:v>413.21279999999996</x:v>
      </x:c>
      <x:c r="V71" s="46" t="str">
        <x:v>DÜŞÜK</x:v>
      </x:c>
      <x:c r="W71" s="46" t="str"/>
      <x:c r="X71" s="50" t="str">
        <x:v>σ, φ, α∞, Λ ve Λ' JCA/JCAL başlangıç tahminidir; empedans tüpü/akış direnci ölçümüyle kalibre edilmelidir. Çerçeve limp/elastic seçimi önemlidir.</x:v>
      </x:c>
    </x:row>
    <x:row r="72">
      <x:c r="A72" s="46" t="str">
        <x:v>MW-STONE-D70-T40</x:v>
      </x:c>
      <x:c r="B72" s="46" t="str">
        <x:v>Mineral yün</x:v>
      </x:c>
      <x:c r="C72" s="46" t="str">
        <x:v>Taş yünü – genel</x:v>
      </x:c>
      <x:c r="D72" s="46" t="str">
        <x:v>GENERIC</x:v>
      </x:c>
      <x:c r="E72" s="46" t="str">
        <x:v>Stone wool 70 kg/m³</x:v>
      </x:c>
      <x:c r="F72" s="70" t="str">
        <x:v>JCA_STARTING_ESTIMATE</x:v>
      </x:c>
      <x:c r="G72" s="54" t="n">
        <x:v>40</x:v>
      </x:c>
      <x:c r="H72" s="54" t="n">
        <x:v>70</x:v>
      </x:c>
      <x:c r="I72" s="66" t="n">
        <x:v>22000</x:v>
      </x:c>
      <x:c r="J72" s="76" t="n">
        <x:f>IF(OR(G72="",I72=""),"",I72*G72/1000)</x:f>
        <x:v>880</x:v>
      </x:c>
      <x:c r="K72" s="62" t="n">
        <x:v>0.97</x:v>
      </x:c>
      <x:c r="L72" s="62" t="n">
        <x:v>1.08</x:v>
      </x:c>
      <x:c r="M72" s="66" t="n">
        <x:v>90</x:v>
      </x:c>
      <x:c r="N72" s="66" t="n">
        <x:v>180</x:v>
      </x:c>
      <x:c r="O72" s="54" t="n">
        <x:v>220</x:v>
      </x:c>
      <x:c r="P72" s="62" t="n">
        <x:v>0.1</x:v>
      </x:c>
      <x:c r="Q72" s="62" t="n">
        <x:v>0.2</x:v>
      </x:c>
      <x:c r="R72" s="54"/>
      <x:c r="S72" s="62" t="n">
        <x:v>1.204</x:v>
      </x:c>
      <x:c r="T72" s="54" t="n">
        <x:v>343.2</x:v>
      </x:c>
      <x:c r="U72" s="86" t="n">
        <x:f>IF(OR(S72="",T72=""),"",S72*T72)</x:f>
        <x:v>413.21279999999996</x:v>
      </x:c>
      <x:c r="V72" s="46" t="str">
        <x:v>DÜŞÜK</x:v>
      </x:c>
      <x:c r="W72" s="46" t="str"/>
      <x:c r="X72" s="50" t="str">
        <x:v>σ, φ, α∞, Λ ve Λ' JCA/JCAL başlangıç tahminidir; empedans tüpü/akış direnci ölçümüyle kalibre edilmelidir. Çerçeve limp/elastic seçimi önemlidir.</x:v>
      </x:c>
    </x:row>
    <x:row r="73">
      <x:c r="A73" s="46" t="str">
        <x:v>MW-STONE-D70-T50</x:v>
      </x:c>
      <x:c r="B73" s="46" t="str">
        <x:v>Mineral yün</x:v>
      </x:c>
      <x:c r="C73" s="46" t="str">
        <x:v>Taş yünü – genel</x:v>
      </x:c>
      <x:c r="D73" s="46" t="str">
        <x:v>GENERIC</x:v>
      </x:c>
      <x:c r="E73" s="46" t="str">
        <x:v>Stone wool 70 kg/m³</x:v>
      </x:c>
      <x:c r="F73" s="70" t="str">
        <x:v>JCA_STARTING_ESTIMATE</x:v>
      </x:c>
      <x:c r="G73" s="54" t="n">
        <x:v>50</x:v>
      </x:c>
      <x:c r="H73" s="54" t="n">
        <x:v>70</x:v>
      </x:c>
      <x:c r="I73" s="66" t="n">
        <x:v>22000</x:v>
      </x:c>
      <x:c r="J73" s="76" t="n">
        <x:f>IF(OR(G73="",I73=""),"",I73*G73/1000)</x:f>
        <x:v>1100</x:v>
      </x:c>
      <x:c r="K73" s="62" t="n">
        <x:v>0.97</x:v>
      </x:c>
      <x:c r="L73" s="62" t="n">
        <x:v>1.08</x:v>
      </x:c>
      <x:c r="M73" s="66" t="n">
        <x:v>90</x:v>
      </x:c>
      <x:c r="N73" s="66" t="n">
        <x:v>180</x:v>
      </x:c>
      <x:c r="O73" s="54" t="n">
        <x:v>220</x:v>
      </x:c>
      <x:c r="P73" s="62" t="n">
        <x:v>0.1</x:v>
      </x:c>
      <x:c r="Q73" s="62" t="n">
        <x:v>0.2</x:v>
      </x:c>
      <x:c r="R73" s="54"/>
      <x:c r="S73" s="62" t="n">
        <x:v>1.204</x:v>
      </x:c>
      <x:c r="T73" s="54" t="n">
        <x:v>343.2</x:v>
      </x:c>
      <x:c r="U73" s="86" t="n">
        <x:f>IF(OR(S73="",T73=""),"",S73*T73)</x:f>
        <x:v>413.21279999999996</x:v>
      </x:c>
      <x:c r="V73" s="46" t="str">
        <x:v>DÜŞÜK</x:v>
      </x:c>
      <x:c r="W73" s="46" t="str"/>
      <x:c r="X73" s="50" t="str">
        <x:v>σ, φ, α∞, Λ ve Λ' JCA/JCAL başlangıç tahminidir; empedans tüpü/akış direnci ölçümüyle kalibre edilmelidir. Çerçeve limp/elastic seçimi önemlidir.</x:v>
      </x:c>
    </x:row>
    <x:row r="74">
      <x:c r="A74" s="46" t="str">
        <x:v>MW-STONE-D70-T60</x:v>
      </x:c>
      <x:c r="B74" s="46" t="str">
        <x:v>Mineral yün</x:v>
      </x:c>
      <x:c r="C74" s="46" t="str">
        <x:v>Taş yünü – genel</x:v>
      </x:c>
      <x:c r="D74" s="46" t="str">
        <x:v>GENERIC</x:v>
      </x:c>
      <x:c r="E74" s="46" t="str">
        <x:v>Stone wool 70 kg/m³</x:v>
      </x:c>
      <x:c r="F74" s="70" t="str">
        <x:v>JCA_STARTING_ESTIMATE</x:v>
      </x:c>
      <x:c r="G74" s="54" t="n">
        <x:v>60</x:v>
      </x:c>
      <x:c r="H74" s="54" t="n">
        <x:v>70</x:v>
      </x:c>
      <x:c r="I74" s="66" t="n">
        <x:v>22000</x:v>
      </x:c>
      <x:c r="J74" s="76" t="n">
        <x:f>IF(OR(G74="",I74=""),"",I74*G74/1000)</x:f>
        <x:v>1320</x:v>
      </x:c>
      <x:c r="K74" s="62" t="n">
        <x:v>0.97</x:v>
      </x:c>
      <x:c r="L74" s="62" t="n">
        <x:v>1.08</x:v>
      </x:c>
      <x:c r="M74" s="66" t="n">
        <x:v>90</x:v>
      </x:c>
      <x:c r="N74" s="66" t="n">
        <x:v>180</x:v>
      </x:c>
      <x:c r="O74" s="54" t="n">
        <x:v>220</x:v>
      </x:c>
      <x:c r="P74" s="62" t="n">
        <x:v>0.1</x:v>
      </x:c>
      <x:c r="Q74" s="62" t="n">
        <x:v>0.2</x:v>
      </x:c>
      <x:c r="R74" s="54"/>
      <x:c r="S74" s="62" t="n">
        <x:v>1.204</x:v>
      </x:c>
      <x:c r="T74" s="54" t="n">
        <x:v>343.2</x:v>
      </x:c>
      <x:c r="U74" s="86" t="n">
        <x:f>IF(OR(S74="",T74=""),"",S74*T74)</x:f>
        <x:v>413.21279999999996</x:v>
      </x:c>
      <x:c r="V74" s="46" t="str">
        <x:v>DÜŞÜK</x:v>
      </x:c>
      <x:c r="W74" s="46" t="str"/>
      <x:c r="X74" s="50" t="str">
        <x:v>σ, φ, α∞, Λ ve Λ' JCA/JCAL başlangıç tahminidir; empedans tüpü/akış direnci ölçümüyle kalibre edilmelidir. Çerçeve limp/elastic seçimi önemlidir.</x:v>
      </x:c>
    </x:row>
    <x:row r="75">
      <x:c r="A75" s="46" t="str">
        <x:v>MW-STONE-D70-T75</x:v>
      </x:c>
      <x:c r="B75" s="46" t="str">
        <x:v>Mineral yün</x:v>
      </x:c>
      <x:c r="C75" s="46" t="str">
        <x:v>Taş yünü – genel</x:v>
      </x:c>
      <x:c r="D75" s="46" t="str">
        <x:v>GENERIC</x:v>
      </x:c>
      <x:c r="E75" s="46" t="str">
        <x:v>Stone wool 70 kg/m³</x:v>
      </x:c>
      <x:c r="F75" s="70" t="str">
        <x:v>JCA_STARTING_ESTIMATE</x:v>
      </x:c>
      <x:c r="G75" s="54" t="n">
        <x:v>75</x:v>
      </x:c>
      <x:c r="H75" s="54" t="n">
        <x:v>70</x:v>
      </x:c>
      <x:c r="I75" s="66" t="n">
        <x:v>22000</x:v>
      </x:c>
      <x:c r="J75" s="76" t="n">
        <x:f>IF(OR(G75="",I75=""),"",I75*G75/1000)</x:f>
        <x:v>1650</x:v>
      </x:c>
      <x:c r="K75" s="62" t="n">
        <x:v>0.97</x:v>
      </x:c>
      <x:c r="L75" s="62" t="n">
        <x:v>1.08</x:v>
      </x:c>
      <x:c r="M75" s="66" t="n">
        <x:v>90</x:v>
      </x:c>
      <x:c r="N75" s="66" t="n">
        <x:v>180</x:v>
      </x:c>
      <x:c r="O75" s="54" t="n">
        <x:v>220</x:v>
      </x:c>
      <x:c r="P75" s="62" t="n">
        <x:v>0.1</x:v>
      </x:c>
      <x:c r="Q75" s="62" t="n">
        <x:v>0.2</x:v>
      </x:c>
      <x:c r="R75" s="54"/>
      <x:c r="S75" s="62" t="n">
        <x:v>1.204</x:v>
      </x:c>
      <x:c r="T75" s="54" t="n">
        <x:v>343.2</x:v>
      </x:c>
      <x:c r="U75" s="86" t="n">
        <x:f>IF(OR(S75="",T75=""),"",S75*T75)</x:f>
        <x:v>413.21279999999996</x:v>
      </x:c>
      <x:c r="V75" s="46" t="str">
        <x:v>DÜŞÜK</x:v>
      </x:c>
      <x:c r="W75" s="46" t="str"/>
      <x:c r="X75" s="50" t="str">
        <x:v>σ, φ, α∞, Λ ve Λ' JCA/JCAL başlangıç tahminidir; empedans tüpü/akış direnci ölçümüyle kalibre edilmelidir. Çerçeve limp/elastic seçimi önemlidir.</x:v>
      </x:c>
    </x:row>
    <x:row r="76">
      <x:c r="A76" s="46" t="str">
        <x:v>MW-STONE-D70-T80</x:v>
      </x:c>
      <x:c r="B76" s="46" t="str">
        <x:v>Mineral yün</x:v>
      </x:c>
      <x:c r="C76" s="46" t="str">
        <x:v>Taş yünü – genel</x:v>
      </x:c>
      <x:c r="D76" s="46" t="str">
        <x:v>GENERIC</x:v>
      </x:c>
      <x:c r="E76" s="46" t="str">
        <x:v>Stone wool 70 kg/m³</x:v>
      </x:c>
      <x:c r="F76" s="70" t="str">
        <x:v>JCA_STARTING_ESTIMATE</x:v>
      </x:c>
      <x:c r="G76" s="54" t="n">
        <x:v>80</x:v>
      </x:c>
      <x:c r="H76" s="54" t="n">
        <x:v>70</x:v>
      </x:c>
      <x:c r="I76" s="66" t="n">
        <x:v>22000</x:v>
      </x:c>
      <x:c r="J76" s="76" t="n">
        <x:f>IF(OR(G76="",I76=""),"",I76*G76/1000)</x:f>
        <x:v>1760</x:v>
      </x:c>
      <x:c r="K76" s="62" t="n">
        <x:v>0.97</x:v>
      </x:c>
      <x:c r="L76" s="62" t="n">
        <x:v>1.08</x:v>
      </x:c>
      <x:c r="M76" s="66" t="n">
        <x:v>90</x:v>
      </x:c>
      <x:c r="N76" s="66" t="n">
        <x:v>180</x:v>
      </x:c>
      <x:c r="O76" s="54" t="n">
        <x:v>220</x:v>
      </x:c>
      <x:c r="P76" s="62" t="n">
        <x:v>0.1</x:v>
      </x:c>
      <x:c r="Q76" s="62" t="n">
        <x:v>0.2</x:v>
      </x:c>
      <x:c r="R76" s="54"/>
      <x:c r="S76" s="62" t="n">
        <x:v>1.204</x:v>
      </x:c>
      <x:c r="T76" s="54" t="n">
        <x:v>343.2</x:v>
      </x:c>
      <x:c r="U76" s="86" t="n">
        <x:f>IF(OR(S76="",T76=""),"",S76*T76)</x:f>
        <x:v>413.21279999999996</x:v>
      </x:c>
      <x:c r="V76" s="46" t="str">
        <x:v>DÜŞÜK</x:v>
      </x:c>
      <x:c r="W76" s="46" t="str"/>
      <x:c r="X76" s="50" t="str">
        <x:v>σ, φ, α∞, Λ ve Λ' JCA/JCAL başlangıç tahminidir; empedans tüpü/akış direnci ölçümüyle kalibre edilmelidir. Çerçeve limp/elastic seçimi önemlidir.</x:v>
      </x:c>
    </x:row>
    <x:row r="77">
      <x:c r="A77" s="46" t="str">
        <x:v>MW-STONE-D70-T100</x:v>
      </x:c>
      <x:c r="B77" s="46" t="str">
        <x:v>Mineral yün</x:v>
      </x:c>
      <x:c r="C77" s="46" t="str">
        <x:v>Taş yünü – genel</x:v>
      </x:c>
      <x:c r="D77" s="46" t="str">
        <x:v>GENERIC</x:v>
      </x:c>
      <x:c r="E77" s="46" t="str">
        <x:v>Stone wool 70 kg/m³</x:v>
      </x:c>
      <x:c r="F77" s="70" t="str">
        <x:v>JCA_STARTING_ESTIMATE</x:v>
      </x:c>
      <x:c r="G77" s="54" t="n">
        <x:v>100</x:v>
      </x:c>
      <x:c r="H77" s="54" t="n">
        <x:v>70</x:v>
      </x:c>
      <x:c r="I77" s="66" t="n">
        <x:v>22000</x:v>
      </x:c>
      <x:c r="J77" s="76" t="n">
        <x:f>IF(OR(G77="",I77=""),"",I77*G77/1000)</x:f>
        <x:v>2200</x:v>
      </x:c>
      <x:c r="K77" s="62" t="n">
        <x:v>0.97</x:v>
      </x:c>
      <x:c r="L77" s="62" t="n">
        <x:v>1.08</x:v>
      </x:c>
      <x:c r="M77" s="66" t="n">
        <x:v>90</x:v>
      </x:c>
      <x:c r="N77" s="66" t="n">
        <x:v>180</x:v>
      </x:c>
      <x:c r="O77" s="54" t="n">
        <x:v>220</x:v>
      </x:c>
      <x:c r="P77" s="62" t="n">
        <x:v>0.1</x:v>
      </x:c>
      <x:c r="Q77" s="62" t="n">
        <x:v>0.2</x:v>
      </x:c>
      <x:c r="R77" s="54"/>
      <x:c r="S77" s="62" t="n">
        <x:v>1.204</x:v>
      </x:c>
      <x:c r="T77" s="54" t="n">
        <x:v>343.2</x:v>
      </x:c>
      <x:c r="U77" s="86" t="n">
        <x:f>IF(OR(S77="",T77=""),"",S77*T77)</x:f>
        <x:v>413.21279999999996</x:v>
      </x:c>
      <x:c r="V77" s="46" t="str">
        <x:v>DÜŞÜK</x:v>
      </x:c>
      <x:c r="W77" s="46" t="str"/>
      <x:c r="X77" s="50" t="str">
        <x:v>σ, φ, α∞, Λ ve Λ' JCA/JCAL başlangıç tahminidir; empedans tüpü/akış direnci ölçümüyle kalibre edilmelidir. Çerçeve limp/elastic seçimi önemlidir.</x:v>
      </x:c>
    </x:row>
    <x:row r="78">
      <x:c r="A78" s="46" t="str">
        <x:v>MW-STONE-D70-T120</x:v>
      </x:c>
      <x:c r="B78" s="46" t="str">
        <x:v>Mineral yün</x:v>
      </x:c>
      <x:c r="C78" s="46" t="str">
        <x:v>Taş yünü – genel</x:v>
      </x:c>
      <x:c r="D78" s="46" t="str">
        <x:v>GENERIC</x:v>
      </x:c>
      <x:c r="E78" s="46" t="str">
        <x:v>Stone wool 70 kg/m³</x:v>
      </x:c>
      <x:c r="F78" s="70" t="str">
        <x:v>JCA_STARTING_ESTIMATE</x:v>
      </x:c>
      <x:c r="G78" s="54" t="n">
        <x:v>120</x:v>
      </x:c>
      <x:c r="H78" s="54" t="n">
        <x:v>70</x:v>
      </x:c>
      <x:c r="I78" s="66" t="n">
        <x:v>22000</x:v>
      </x:c>
      <x:c r="J78" s="76" t="n">
        <x:f>IF(OR(G78="",I78=""),"",I78*G78/1000)</x:f>
        <x:v>2640</x:v>
      </x:c>
      <x:c r="K78" s="62" t="n">
        <x:v>0.97</x:v>
      </x:c>
      <x:c r="L78" s="62" t="n">
        <x:v>1.08</x:v>
      </x:c>
      <x:c r="M78" s="66" t="n">
        <x:v>90</x:v>
      </x:c>
      <x:c r="N78" s="66" t="n">
        <x:v>180</x:v>
      </x:c>
      <x:c r="O78" s="54" t="n">
        <x:v>220</x:v>
      </x:c>
      <x:c r="P78" s="62" t="n">
        <x:v>0.1</x:v>
      </x:c>
      <x:c r="Q78" s="62" t="n">
        <x:v>0.2</x:v>
      </x:c>
      <x:c r="R78" s="54"/>
      <x:c r="S78" s="62" t="n">
        <x:v>1.204</x:v>
      </x:c>
      <x:c r="T78" s="54" t="n">
        <x:v>343.2</x:v>
      </x:c>
      <x:c r="U78" s="86" t="n">
        <x:f>IF(OR(S78="",T78=""),"",S78*T78)</x:f>
        <x:v>413.21279999999996</x:v>
      </x:c>
      <x:c r="V78" s="46" t="str">
        <x:v>DÜŞÜK</x:v>
      </x:c>
      <x:c r="W78" s="46" t="str"/>
      <x:c r="X78" s="50" t="str">
        <x:v>σ, φ, α∞, Λ ve Λ' JCA/JCAL başlangıç tahminidir; empedans tüpü/akış direnci ölçümüyle kalibre edilmelidir. Çerçeve limp/elastic seçimi önemlidir.</x:v>
      </x:c>
    </x:row>
    <x:row r="79">
      <x:c r="A79" s="46" t="str">
        <x:v>MW-STONE-D70-T150</x:v>
      </x:c>
      <x:c r="B79" s="46" t="str">
        <x:v>Mineral yün</x:v>
      </x:c>
      <x:c r="C79" s="46" t="str">
        <x:v>Taş yünü – genel</x:v>
      </x:c>
      <x:c r="D79" s="46" t="str">
        <x:v>GENERIC</x:v>
      </x:c>
      <x:c r="E79" s="46" t="str">
        <x:v>Stone wool 70 kg/m³</x:v>
      </x:c>
      <x:c r="F79" s="70" t="str">
        <x:v>JCA_STARTING_ESTIMATE</x:v>
      </x:c>
      <x:c r="G79" s="54" t="n">
        <x:v>150</x:v>
      </x:c>
      <x:c r="H79" s="54" t="n">
        <x:v>70</x:v>
      </x:c>
      <x:c r="I79" s="66" t="n">
        <x:v>22000</x:v>
      </x:c>
      <x:c r="J79" s="76" t="n">
        <x:f>IF(OR(G79="",I79=""),"",I79*G79/1000)</x:f>
        <x:v>3300</x:v>
      </x:c>
      <x:c r="K79" s="62" t="n">
        <x:v>0.97</x:v>
      </x:c>
      <x:c r="L79" s="62" t="n">
        <x:v>1.08</x:v>
      </x:c>
      <x:c r="M79" s="66" t="n">
        <x:v>90</x:v>
      </x:c>
      <x:c r="N79" s="66" t="n">
        <x:v>180</x:v>
      </x:c>
      <x:c r="O79" s="54" t="n">
        <x:v>220</x:v>
      </x:c>
      <x:c r="P79" s="62" t="n">
        <x:v>0.1</x:v>
      </x:c>
      <x:c r="Q79" s="62" t="n">
        <x:v>0.2</x:v>
      </x:c>
      <x:c r="R79" s="54"/>
      <x:c r="S79" s="62" t="n">
        <x:v>1.204</x:v>
      </x:c>
      <x:c r="T79" s="54" t="n">
        <x:v>343.2</x:v>
      </x:c>
      <x:c r="U79" s="86" t="n">
        <x:f>IF(OR(S79="",T79=""),"",S79*T79)</x:f>
        <x:v>413.21279999999996</x:v>
      </x:c>
      <x:c r="V79" s="46" t="str">
        <x:v>DÜŞÜK</x:v>
      </x:c>
      <x:c r="W79" s="46" t="str"/>
      <x:c r="X79" s="50" t="str">
        <x:v>σ, φ, α∞, Λ ve Λ' JCA/JCAL başlangıç tahminidir; empedans tüpü/akış direnci ölçümüyle kalibre edilmelidir. Çerçeve limp/elastic seçimi önemlidir.</x:v>
      </x:c>
    </x:row>
    <x:row r="80">
      <x:c r="A80" s="46" t="str">
        <x:v>MW-STONE-D80-T25</x:v>
      </x:c>
      <x:c r="B80" s="46" t="str">
        <x:v>Mineral yün</x:v>
      </x:c>
      <x:c r="C80" s="46" t="str">
        <x:v>Taş yünü – genel</x:v>
      </x:c>
      <x:c r="D80" s="46" t="str">
        <x:v>GENERIC</x:v>
      </x:c>
      <x:c r="E80" s="46" t="str">
        <x:v>Stone wool 80 kg/m³</x:v>
      </x:c>
      <x:c r="F80" s="70" t="str">
        <x:v>JCA_STARTING_ESTIMATE</x:v>
      </x:c>
      <x:c r="G80" s="54" t="n">
        <x:v>25</x:v>
      </x:c>
      <x:c r="H80" s="54" t="n">
        <x:v>80</x:v>
      </x:c>
      <x:c r="I80" s="66" t="n">
        <x:v>30000</x:v>
      </x:c>
      <x:c r="J80" s="76" t="n">
        <x:f>IF(OR(G80="",I80=""),"",I80*G80/1000)</x:f>
        <x:v>750</x:v>
      </x:c>
      <x:c r="K80" s="62" t="n">
        <x:v>0.97</x:v>
      </x:c>
      <x:c r="L80" s="62" t="n">
        <x:v>1.08</x:v>
      </x:c>
      <x:c r="M80" s="66" t="n">
        <x:v>90</x:v>
      </x:c>
      <x:c r="N80" s="66" t="n">
        <x:v>180</x:v>
      </x:c>
      <x:c r="O80" s="54" t="n">
        <x:v>300</x:v>
      </x:c>
      <x:c r="P80" s="62" t="n">
        <x:v>0.1</x:v>
      </x:c>
      <x:c r="Q80" s="62" t="n">
        <x:v>0.2</x:v>
      </x:c>
      <x:c r="R80" s="54"/>
      <x:c r="S80" s="62" t="n">
        <x:v>1.204</x:v>
      </x:c>
      <x:c r="T80" s="54" t="n">
        <x:v>343.2</x:v>
      </x:c>
      <x:c r="U80" s="86" t="n">
        <x:f>IF(OR(S80="",T80=""),"",S80*T80)</x:f>
        <x:v>413.21279999999996</x:v>
      </x:c>
      <x:c r="V80" s="46" t="str">
        <x:v>DÜŞÜK</x:v>
      </x:c>
      <x:c r="W80" s="46" t="str"/>
      <x:c r="X80" s="50" t="str">
        <x:v>σ, φ, α∞, Λ ve Λ' JCA/JCAL başlangıç tahminidir; empedans tüpü/akış direnci ölçümüyle kalibre edilmelidir. Çerçeve limp/elastic seçimi önemlidir.</x:v>
      </x:c>
    </x:row>
    <x:row r="81">
      <x:c r="A81" s="46" t="str">
        <x:v>MW-STONE-D80-T40</x:v>
      </x:c>
      <x:c r="B81" s="46" t="str">
        <x:v>Mineral yün</x:v>
      </x:c>
      <x:c r="C81" s="46" t="str">
        <x:v>Taş yünü – genel</x:v>
      </x:c>
      <x:c r="D81" s="46" t="str">
        <x:v>GENERIC</x:v>
      </x:c>
      <x:c r="E81" s="46" t="str">
        <x:v>Stone wool 80 kg/m³</x:v>
      </x:c>
      <x:c r="F81" s="70" t="str">
        <x:v>JCA_STARTING_ESTIMATE</x:v>
      </x:c>
      <x:c r="G81" s="54" t="n">
        <x:v>40</x:v>
      </x:c>
      <x:c r="H81" s="54" t="n">
        <x:v>80</x:v>
      </x:c>
      <x:c r="I81" s="66" t="n">
        <x:v>30000</x:v>
      </x:c>
      <x:c r="J81" s="76" t="n">
        <x:f>IF(OR(G81="",I81=""),"",I81*G81/1000)</x:f>
        <x:v>1200</x:v>
      </x:c>
      <x:c r="K81" s="62" t="n">
        <x:v>0.97</x:v>
      </x:c>
      <x:c r="L81" s="62" t="n">
        <x:v>1.08</x:v>
      </x:c>
      <x:c r="M81" s="66" t="n">
        <x:v>90</x:v>
      </x:c>
      <x:c r="N81" s="66" t="n">
        <x:v>180</x:v>
      </x:c>
      <x:c r="O81" s="54" t="n">
        <x:v>300</x:v>
      </x:c>
      <x:c r="P81" s="62" t="n">
        <x:v>0.1</x:v>
      </x:c>
      <x:c r="Q81" s="62" t="n">
        <x:v>0.2</x:v>
      </x:c>
      <x:c r="R81" s="54"/>
      <x:c r="S81" s="62" t="n">
        <x:v>1.204</x:v>
      </x:c>
      <x:c r="T81" s="54" t="n">
        <x:v>343.2</x:v>
      </x:c>
      <x:c r="U81" s="86" t="n">
        <x:f>IF(OR(S81="",T81=""),"",S81*T81)</x:f>
        <x:v>413.21279999999996</x:v>
      </x:c>
      <x:c r="V81" s="46" t="str">
        <x:v>DÜŞÜK</x:v>
      </x:c>
      <x:c r="W81" s="46" t="str"/>
      <x:c r="X81" s="50" t="str">
        <x:v>σ, φ, α∞, Λ ve Λ' JCA/JCAL başlangıç tahminidir; empedans tüpü/akış direnci ölçümüyle kalibre edilmelidir. Çerçeve limp/elastic seçimi önemlidir.</x:v>
      </x:c>
    </x:row>
    <x:row r="82">
      <x:c r="A82" s="46" t="str">
        <x:v>MW-STONE-D80-T50</x:v>
      </x:c>
      <x:c r="B82" s="46" t="str">
        <x:v>Mineral yün</x:v>
      </x:c>
      <x:c r="C82" s="46" t="str">
        <x:v>Taş yünü – genel</x:v>
      </x:c>
      <x:c r="D82" s="46" t="str">
        <x:v>GENERIC</x:v>
      </x:c>
      <x:c r="E82" s="46" t="str">
        <x:v>Stone wool 80 kg/m³</x:v>
      </x:c>
      <x:c r="F82" s="70" t="str">
        <x:v>JCA_STARTING_ESTIMATE</x:v>
      </x:c>
      <x:c r="G82" s="54" t="n">
        <x:v>50</x:v>
      </x:c>
      <x:c r="H82" s="54" t="n">
        <x:v>80</x:v>
      </x:c>
      <x:c r="I82" s="66" t="n">
        <x:v>30000</x:v>
      </x:c>
      <x:c r="J82" s="76" t="n">
        <x:f>IF(OR(G82="",I82=""),"",I82*G82/1000)</x:f>
        <x:v>1500</x:v>
      </x:c>
      <x:c r="K82" s="62" t="n">
        <x:v>0.97</x:v>
      </x:c>
      <x:c r="L82" s="62" t="n">
        <x:v>1.08</x:v>
      </x:c>
      <x:c r="M82" s="66" t="n">
        <x:v>90</x:v>
      </x:c>
      <x:c r="N82" s="66" t="n">
        <x:v>180</x:v>
      </x:c>
      <x:c r="O82" s="54" t="n">
        <x:v>300</x:v>
      </x:c>
      <x:c r="P82" s="62" t="n">
        <x:v>0.1</x:v>
      </x:c>
      <x:c r="Q82" s="62" t="n">
        <x:v>0.2</x:v>
      </x:c>
      <x:c r="R82" s="54"/>
      <x:c r="S82" s="62" t="n">
        <x:v>1.204</x:v>
      </x:c>
      <x:c r="T82" s="54" t="n">
        <x:v>343.2</x:v>
      </x:c>
      <x:c r="U82" s="86" t="n">
        <x:f>IF(OR(S82="",T82=""),"",S82*T82)</x:f>
        <x:v>413.21279999999996</x:v>
      </x:c>
      <x:c r="V82" s="46" t="str">
        <x:v>DÜŞÜK</x:v>
      </x:c>
      <x:c r="W82" s="46" t="str"/>
      <x:c r="X82" s="50" t="str">
        <x:v>σ, φ, α∞, Λ ve Λ' JCA/JCAL başlangıç tahminidir; empedans tüpü/akış direnci ölçümüyle kalibre edilmelidir. Çerçeve limp/elastic seçimi önemlidir.</x:v>
      </x:c>
    </x:row>
    <x:row r="83">
      <x:c r="A83" s="46" t="str">
        <x:v>MW-STONE-D80-T60</x:v>
      </x:c>
      <x:c r="B83" s="46" t="str">
        <x:v>Mineral yün</x:v>
      </x:c>
      <x:c r="C83" s="46" t="str">
        <x:v>Taş yünü – genel</x:v>
      </x:c>
      <x:c r="D83" s="46" t="str">
        <x:v>GENERIC</x:v>
      </x:c>
      <x:c r="E83" s="46" t="str">
        <x:v>Stone wool 80 kg/m³</x:v>
      </x:c>
      <x:c r="F83" s="70" t="str">
        <x:v>JCA_STARTING_ESTIMATE</x:v>
      </x:c>
      <x:c r="G83" s="54" t="n">
        <x:v>60</x:v>
      </x:c>
      <x:c r="H83" s="54" t="n">
        <x:v>80</x:v>
      </x:c>
      <x:c r="I83" s="66" t="n">
        <x:v>30000</x:v>
      </x:c>
      <x:c r="J83" s="76" t="n">
        <x:f>IF(OR(G83="",I83=""),"",I83*G83/1000)</x:f>
        <x:v>1800</x:v>
      </x:c>
      <x:c r="K83" s="62" t="n">
        <x:v>0.97</x:v>
      </x:c>
      <x:c r="L83" s="62" t="n">
        <x:v>1.08</x:v>
      </x:c>
      <x:c r="M83" s="66" t="n">
        <x:v>90</x:v>
      </x:c>
      <x:c r="N83" s="66" t="n">
        <x:v>180</x:v>
      </x:c>
      <x:c r="O83" s="54" t="n">
        <x:v>300</x:v>
      </x:c>
      <x:c r="P83" s="62" t="n">
        <x:v>0.1</x:v>
      </x:c>
      <x:c r="Q83" s="62" t="n">
        <x:v>0.2</x:v>
      </x:c>
      <x:c r="R83" s="54"/>
      <x:c r="S83" s="62" t="n">
        <x:v>1.204</x:v>
      </x:c>
      <x:c r="T83" s="54" t="n">
        <x:v>343.2</x:v>
      </x:c>
      <x:c r="U83" s="86" t="n">
        <x:f>IF(OR(S83="",T83=""),"",S83*T83)</x:f>
        <x:v>413.21279999999996</x:v>
      </x:c>
      <x:c r="V83" s="46" t="str">
        <x:v>DÜŞÜK</x:v>
      </x:c>
      <x:c r="W83" s="46" t="str"/>
      <x:c r="X83" s="50" t="str">
        <x:v>σ, φ, α∞, Λ ve Λ' JCA/JCAL başlangıç tahminidir; empedans tüpü/akış direnci ölçümüyle kalibre edilmelidir. Çerçeve limp/elastic seçimi önemlidir.</x:v>
      </x:c>
    </x:row>
    <x:row r="84">
      <x:c r="A84" s="46" t="str">
        <x:v>MW-STONE-D80-T75</x:v>
      </x:c>
      <x:c r="B84" s="46" t="str">
        <x:v>Mineral yün</x:v>
      </x:c>
      <x:c r="C84" s="46" t="str">
        <x:v>Taş yünü – genel</x:v>
      </x:c>
      <x:c r="D84" s="46" t="str">
        <x:v>GENERIC</x:v>
      </x:c>
      <x:c r="E84" s="46" t="str">
        <x:v>Stone wool 80 kg/m³</x:v>
      </x:c>
      <x:c r="F84" s="70" t="str">
        <x:v>JCA_STARTING_ESTIMATE</x:v>
      </x:c>
      <x:c r="G84" s="54" t="n">
        <x:v>75</x:v>
      </x:c>
      <x:c r="H84" s="54" t="n">
        <x:v>80</x:v>
      </x:c>
      <x:c r="I84" s="66" t="n">
        <x:v>30000</x:v>
      </x:c>
      <x:c r="J84" s="76" t="n">
        <x:f>IF(OR(G84="",I84=""),"",I84*G84/1000)</x:f>
        <x:v>2250</x:v>
      </x:c>
      <x:c r="K84" s="62" t="n">
        <x:v>0.97</x:v>
      </x:c>
      <x:c r="L84" s="62" t="n">
        <x:v>1.08</x:v>
      </x:c>
      <x:c r="M84" s="66" t="n">
        <x:v>90</x:v>
      </x:c>
      <x:c r="N84" s="66" t="n">
        <x:v>180</x:v>
      </x:c>
      <x:c r="O84" s="54" t="n">
        <x:v>300</x:v>
      </x:c>
      <x:c r="P84" s="62" t="n">
        <x:v>0.1</x:v>
      </x:c>
      <x:c r="Q84" s="62" t="n">
        <x:v>0.2</x:v>
      </x:c>
      <x:c r="R84" s="54"/>
      <x:c r="S84" s="62" t="n">
        <x:v>1.204</x:v>
      </x:c>
      <x:c r="T84" s="54" t="n">
        <x:v>343.2</x:v>
      </x:c>
      <x:c r="U84" s="86" t="n">
        <x:f>IF(OR(S84="",T84=""),"",S84*T84)</x:f>
        <x:v>413.21279999999996</x:v>
      </x:c>
      <x:c r="V84" s="46" t="str">
        <x:v>DÜŞÜK</x:v>
      </x:c>
      <x:c r="W84" s="46" t="str"/>
      <x:c r="X84" s="50" t="str">
        <x:v>σ, φ, α∞, Λ ve Λ' JCA/JCAL başlangıç tahminidir; empedans tüpü/akış direnci ölçümüyle kalibre edilmelidir. Çerçeve limp/elastic seçimi önemlidir.</x:v>
      </x:c>
    </x:row>
    <x:row r="85">
      <x:c r="A85" s="46" t="str">
        <x:v>MW-STONE-D80-T80</x:v>
      </x:c>
      <x:c r="B85" s="46" t="str">
        <x:v>Mineral yün</x:v>
      </x:c>
      <x:c r="C85" s="46" t="str">
        <x:v>Taş yünü – genel</x:v>
      </x:c>
      <x:c r="D85" s="46" t="str">
        <x:v>GENERIC</x:v>
      </x:c>
      <x:c r="E85" s="46" t="str">
        <x:v>Stone wool 80 kg/m³</x:v>
      </x:c>
      <x:c r="F85" s="70" t="str">
        <x:v>JCA_STARTING_ESTIMATE</x:v>
      </x:c>
      <x:c r="G85" s="54" t="n">
        <x:v>80</x:v>
      </x:c>
      <x:c r="H85" s="54" t="n">
        <x:v>80</x:v>
      </x:c>
      <x:c r="I85" s="66" t="n">
        <x:v>30000</x:v>
      </x:c>
      <x:c r="J85" s="76" t="n">
        <x:f>IF(OR(G85="",I85=""),"",I85*G85/1000)</x:f>
        <x:v>2400</x:v>
      </x:c>
      <x:c r="K85" s="62" t="n">
        <x:v>0.97</x:v>
      </x:c>
      <x:c r="L85" s="62" t="n">
        <x:v>1.08</x:v>
      </x:c>
      <x:c r="M85" s="66" t="n">
        <x:v>90</x:v>
      </x:c>
      <x:c r="N85" s="66" t="n">
        <x:v>180</x:v>
      </x:c>
      <x:c r="O85" s="54" t="n">
        <x:v>300</x:v>
      </x:c>
      <x:c r="P85" s="62" t="n">
        <x:v>0.1</x:v>
      </x:c>
      <x:c r="Q85" s="62" t="n">
        <x:v>0.2</x:v>
      </x:c>
      <x:c r="R85" s="54"/>
      <x:c r="S85" s="62" t="n">
        <x:v>1.204</x:v>
      </x:c>
      <x:c r="T85" s="54" t="n">
        <x:v>343.2</x:v>
      </x:c>
      <x:c r="U85" s="86" t="n">
        <x:f>IF(OR(S85="",T85=""),"",S85*T85)</x:f>
        <x:v>413.21279999999996</x:v>
      </x:c>
      <x:c r="V85" s="46" t="str">
        <x:v>DÜŞÜK</x:v>
      </x:c>
      <x:c r="W85" s="46" t="str"/>
      <x:c r="X85" s="50" t="str">
        <x:v>σ, φ, α∞, Λ ve Λ' JCA/JCAL başlangıç tahminidir; empedans tüpü/akış direnci ölçümüyle kalibre edilmelidir. Çerçeve limp/elastic seçimi önemlidir.</x:v>
      </x:c>
    </x:row>
    <x:row r="86">
      <x:c r="A86" s="46" t="str">
        <x:v>MW-STONE-D80-T100</x:v>
      </x:c>
      <x:c r="B86" s="46" t="str">
        <x:v>Mineral yün</x:v>
      </x:c>
      <x:c r="C86" s="46" t="str">
        <x:v>Taş yünü – genel</x:v>
      </x:c>
      <x:c r="D86" s="46" t="str">
        <x:v>GENERIC</x:v>
      </x:c>
      <x:c r="E86" s="46" t="str">
        <x:v>Stone wool 80 kg/m³</x:v>
      </x:c>
      <x:c r="F86" s="70" t="str">
        <x:v>JCA_STARTING_ESTIMATE</x:v>
      </x:c>
      <x:c r="G86" s="54" t="n">
        <x:v>100</x:v>
      </x:c>
      <x:c r="H86" s="54" t="n">
        <x:v>80</x:v>
      </x:c>
      <x:c r="I86" s="66" t="n">
        <x:v>30000</x:v>
      </x:c>
      <x:c r="J86" s="76" t="n">
        <x:f>IF(OR(G86="",I86=""),"",I86*G86/1000)</x:f>
        <x:v>3000</x:v>
      </x:c>
      <x:c r="K86" s="62" t="n">
        <x:v>0.97</x:v>
      </x:c>
      <x:c r="L86" s="62" t="n">
        <x:v>1.08</x:v>
      </x:c>
      <x:c r="M86" s="66" t="n">
        <x:v>90</x:v>
      </x:c>
      <x:c r="N86" s="66" t="n">
        <x:v>180</x:v>
      </x:c>
      <x:c r="O86" s="54" t="n">
        <x:v>300</x:v>
      </x:c>
      <x:c r="P86" s="62" t="n">
        <x:v>0.1</x:v>
      </x:c>
      <x:c r="Q86" s="62" t="n">
        <x:v>0.2</x:v>
      </x:c>
      <x:c r="R86" s="54"/>
      <x:c r="S86" s="62" t="n">
        <x:v>1.204</x:v>
      </x:c>
      <x:c r="T86" s="54" t="n">
        <x:v>343.2</x:v>
      </x:c>
      <x:c r="U86" s="86" t="n">
        <x:f>IF(OR(S86="",T86=""),"",S86*T86)</x:f>
        <x:v>413.21279999999996</x:v>
      </x:c>
      <x:c r="V86" s="46" t="str">
        <x:v>DÜŞÜK</x:v>
      </x:c>
      <x:c r="W86" s="46" t="str"/>
      <x:c r="X86" s="50" t="str">
        <x:v>σ, φ, α∞, Λ ve Λ' JCA/JCAL başlangıç tahminidir; empedans tüpü/akış direnci ölçümüyle kalibre edilmelidir. Çerçeve limp/elastic seçimi önemlidir.</x:v>
      </x:c>
    </x:row>
    <x:row r="87">
      <x:c r="A87" s="46" t="str">
        <x:v>MW-STONE-D80-T120</x:v>
      </x:c>
      <x:c r="B87" s="46" t="str">
        <x:v>Mineral yün</x:v>
      </x:c>
      <x:c r="C87" s="46" t="str">
        <x:v>Taş yünü – genel</x:v>
      </x:c>
      <x:c r="D87" s="46" t="str">
        <x:v>GENERIC</x:v>
      </x:c>
      <x:c r="E87" s="46" t="str">
        <x:v>Stone wool 80 kg/m³</x:v>
      </x:c>
      <x:c r="F87" s="70" t="str">
        <x:v>JCA_STARTING_ESTIMATE</x:v>
      </x:c>
      <x:c r="G87" s="54" t="n">
        <x:v>120</x:v>
      </x:c>
      <x:c r="H87" s="54" t="n">
        <x:v>80</x:v>
      </x:c>
      <x:c r="I87" s="66" t="n">
        <x:v>30000</x:v>
      </x:c>
      <x:c r="J87" s="76" t="n">
        <x:f>IF(OR(G87="",I87=""),"",I87*G87/1000)</x:f>
        <x:v>3600</x:v>
      </x:c>
      <x:c r="K87" s="62" t="n">
        <x:v>0.97</x:v>
      </x:c>
      <x:c r="L87" s="62" t="n">
        <x:v>1.08</x:v>
      </x:c>
      <x:c r="M87" s="66" t="n">
        <x:v>90</x:v>
      </x:c>
      <x:c r="N87" s="66" t="n">
        <x:v>180</x:v>
      </x:c>
      <x:c r="O87" s="54" t="n">
        <x:v>300</x:v>
      </x:c>
      <x:c r="P87" s="62" t="n">
        <x:v>0.1</x:v>
      </x:c>
      <x:c r="Q87" s="62" t="n">
        <x:v>0.2</x:v>
      </x:c>
      <x:c r="R87" s="54"/>
      <x:c r="S87" s="62" t="n">
        <x:v>1.204</x:v>
      </x:c>
      <x:c r="T87" s="54" t="n">
        <x:v>343.2</x:v>
      </x:c>
      <x:c r="U87" s="86" t="n">
        <x:f>IF(OR(S87="",T87=""),"",S87*T87)</x:f>
        <x:v>413.21279999999996</x:v>
      </x:c>
      <x:c r="V87" s="46" t="str">
        <x:v>DÜŞÜK</x:v>
      </x:c>
      <x:c r="W87" s="46" t="str"/>
      <x:c r="X87" s="50" t="str">
        <x:v>σ, φ, α∞, Λ ve Λ' JCA/JCAL başlangıç tahminidir; empedans tüpü/akış direnci ölçümüyle kalibre edilmelidir. Çerçeve limp/elastic seçimi önemlidir.</x:v>
      </x:c>
    </x:row>
    <x:row r="88">
      <x:c r="A88" s="46" t="str">
        <x:v>MW-STONE-D80-T150</x:v>
      </x:c>
      <x:c r="B88" s="46" t="str">
        <x:v>Mineral yün</x:v>
      </x:c>
      <x:c r="C88" s="46" t="str">
        <x:v>Taş yünü – genel</x:v>
      </x:c>
      <x:c r="D88" s="46" t="str">
        <x:v>GENERIC</x:v>
      </x:c>
      <x:c r="E88" s="46" t="str">
        <x:v>Stone wool 80 kg/m³</x:v>
      </x:c>
      <x:c r="F88" s="70" t="str">
        <x:v>JCA_STARTING_ESTIMATE</x:v>
      </x:c>
      <x:c r="G88" s="54" t="n">
        <x:v>150</x:v>
      </x:c>
      <x:c r="H88" s="54" t="n">
        <x:v>80</x:v>
      </x:c>
      <x:c r="I88" s="66" t="n">
        <x:v>30000</x:v>
      </x:c>
      <x:c r="J88" s="76" t="n">
        <x:f>IF(OR(G88="",I88=""),"",I88*G88/1000)</x:f>
        <x:v>4500</x:v>
      </x:c>
      <x:c r="K88" s="62" t="n">
        <x:v>0.97</x:v>
      </x:c>
      <x:c r="L88" s="62" t="n">
        <x:v>1.08</x:v>
      </x:c>
      <x:c r="M88" s="66" t="n">
        <x:v>90</x:v>
      </x:c>
      <x:c r="N88" s="66" t="n">
        <x:v>180</x:v>
      </x:c>
      <x:c r="O88" s="54" t="n">
        <x:v>300</x:v>
      </x:c>
      <x:c r="P88" s="62" t="n">
        <x:v>0.1</x:v>
      </x:c>
      <x:c r="Q88" s="62" t="n">
        <x:v>0.2</x:v>
      </x:c>
      <x:c r="R88" s="54"/>
      <x:c r="S88" s="62" t="n">
        <x:v>1.204</x:v>
      </x:c>
      <x:c r="T88" s="54" t="n">
        <x:v>343.2</x:v>
      </x:c>
      <x:c r="U88" s="86" t="n">
        <x:f>IF(OR(S88="",T88=""),"",S88*T88)</x:f>
        <x:v>413.21279999999996</x:v>
      </x:c>
      <x:c r="V88" s="46" t="str">
        <x:v>DÜŞÜK</x:v>
      </x:c>
      <x:c r="W88" s="46" t="str"/>
      <x:c r="X88" s="50" t="str">
        <x:v>σ, φ, α∞, Λ ve Λ' JCA/JCAL başlangıç tahminidir; empedans tüpü/akış direnci ölçümüyle kalibre edilmelidir. Çerçeve limp/elastic seçimi önemlidir.</x:v>
      </x:c>
    </x:row>
    <x:row r="89">
      <x:c r="A89" s="46" t="str">
        <x:v>MW-STONE-D100-T25</x:v>
      </x:c>
      <x:c r="B89" s="46" t="str">
        <x:v>Mineral yün</x:v>
      </x:c>
      <x:c r="C89" s="46" t="str">
        <x:v>Taş yünü – genel</x:v>
      </x:c>
      <x:c r="D89" s="46" t="str">
        <x:v>GENERIC</x:v>
      </x:c>
      <x:c r="E89" s="46" t="str">
        <x:v>Stone wool 100 kg/m³</x:v>
      </x:c>
      <x:c r="F89" s="70" t="str">
        <x:v>JCA_STARTING_ESTIMATE</x:v>
      </x:c>
      <x:c r="G89" s="54" t="n">
        <x:v>25</x:v>
      </x:c>
      <x:c r="H89" s="54" t="n">
        <x:v>100</x:v>
      </x:c>
      <x:c r="I89" s="66" t="n">
        <x:v>40000</x:v>
      </x:c>
      <x:c r="J89" s="76" t="n">
        <x:f>IF(OR(G89="",I89=""),"",I89*G89/1000)</x:f>
        <x:v>1000</x:v>
      </x:c>
      <x:c r="K89" s="62" t="n">
        <x:v>0.96</x:v>
      </x:c>
      <x:c r="L89" s="62" t="n">
        <x:v>1.12</x:v>
      </x:c>
      <x:c r="M89" s="66" t="n">
        <x:v>70</x:v>
      </x:c>
      <x:c r="N89" s="66" t="n">
        <x:v>140</x:v>
      </x:c>
      <x:c r="O89" s="54" t="n">
        <x:v>500</x:v>
      </x:c>
      <x:c r="P89" s="62" t="n">
        <x:v>0.1</x:v>
      </x:c>
      <x:c r="Q89" s="62" t="n">
        <x:v>0.2</x:v>
      </x:c>
      <x:c r="R89" s="54"/>
      <x:c r="S89" s="62" t="n">
        <x:v>1.204</x:v>
      </x:c>
      <x:c r="T89" s="54" t="n">
        <x:v>343.2</x:v>
      </x:c>
      <x:c r="U89" s="86" t="n">
        <x:f>IF(OR(S89="",T89=""),"",S89*T89)</x:f>
        <x:v>413.21279999999996</x:v>
      </x:c>
      <x:c r="V89" s="46" t="str">
        <x:v>DÜŞÜK</x:v>
      </x:c>
      <x:c r="W89" s="46" t="str"/>
      <x:c r="X89" s="50" t="str">
        <x:v>σ, φ, α∞, Λ ve Λ' JCA/JCAL başlangıç tahminidir; empedans tüpü/akış direnci ölçümüyle kalibre edilmelidir. Çerçeve limp/elastic seçimi önemlidir.</x:v>
      </x:c>
    </x:row>
    <x:row r="90">
      <x:c r="A90" s="46" t="str">
        <x:v>MW-STONE-D100-T40</x:v>
      </x:c>
      <x:c r="B90" s="46" t="str">
        <x:v>Mineral yün</x:v>
      </x:c>
      <x:c r="C90" s="46" t="str">
        <x:v>Taş yünü – genel</x:v>
      </x:c>
      <x:c r="D90" s="46" t="str">
        <x:v>GENERIC</x:v>
      </x:c>
      <x:c r="E90" s="46" t="str">
        <x:v>Stone wool 100 kg/m³</x:v>
      </x:c>
      <x:c r="F90" s="70" t="str">
        <x:v>JCA_STARTING_ESTIMATE</x:v>
      </x:c>
      <x:c r="G90" s="54" t="n">
        <x:v>40</x:v>
      </x:c>
      <x:c r="H90" s="54" t="n">
        <x:v>100</x:v>
      </x:c>
      <x:c r="I90" s="66" t="n">
        <x:v>40000</x:v>
      </x:c>
      <x:c r="J90" s="76" t="n">
        <x:f>IF(OR(G90="",I90=""),"",I90*G90/1000)</x:f>
        <x:v>1600</x:v>
      </x:c>
      <x:c r="K90" s="62" t="n">
        <x:v>0.96</x:v>
      </x:c>
      <x:c r="L90" s="62" t="n">
        <x:v>1.12</x:v>
      </x:c>
      <x:c r="M90" s="66" t="n">
        <x:v>70</x:v>
      </x:c>
      <x:c r="N90" s="66" t="n">
        <x:v>140</x:v>
      </x:c>
      <x:c r="O90" s="54" t="n">
        <x:v>500</x:v>
      </x:c>
      <x:c r="P90" s="62" t="n">
        <x:v>0.1</x:v>
      </x:c>
      <x:c r="Q90" s="62" t="n">
        <x:v>0.2</x:v>
      </x:c>
      <x:c r="R90" s="54"/>
      <x:c r="S90" s="62" t="n">
        <x:v>1.204</x:v>
      </x:c>
      <x:c r="T90" s="54" t="n">
        <x:v>343.2</x:v>
      </x:c>
      <x:c r="U90" s="86" t="n">
        <x:f>IF(OR(S90="",T90=""),"",S90*T90)</x:f>
        <x:v>413.21279999999996</x:v>
      </x:c>
      <x:c r="V90" s="46" t="str">
        <x:v>DÜŞÜK</x:v>
      </x:c>
      <x:c r="W90" s="46" t="str"/>
      <x:c r="X90" s="50" t="str">
        <x:v>σ, φ, α∞, Λ ve Λ' JCA/JCAL başlangıç tahminidir; empedans tüpü/akış direnci ölçümüyle kalibre edilmelidir. Çerçeve limp/elastic seçimi önemlidir.</x:v>
      </x:c>
    </x:row>
    <x:row r="91">
      <x:c r="A91" s="46" t="str">
        <x:v>MW-STONE-D100-T50</x:v>
      </x:c>
      <x:c r="B91" s="46" t="str">
        <x:v>Mineral yün</x:v>
      </x:c>
      <x:c r="C91" s="46" t="str">
        <x:v>Taş yünü – genel</x:v>
      </x:c>
      <x:c r="D91" s="46" t="str">
        <x:v>GENERIC</x:v>
      </x:c>
      <x:c r="E91" s="46" t="str">
        <x:v>Stone wool 100 kg/m³</x:v>
      </x:c>
      <x:c r="F91" s="70" t="str">
        <x:v>JCA_STARTING_ESTIMATE</x:v>
      </x:c>
      <x:c r="G91" s="54" t="n">
        <x:v>50</x:v>
      </x:c>
      <x:c r="H91" s="54" t="n">
        <x:v>100</x:v>
      </x:c>
      <x:c r="I91" s="66" t="n">
        <x:v>40000</x:v>
      </x:c>
      <x:c r="J91" s="76" t="n">
        <x:f>IF(OR(G91="",I91=""),"",I91*G91/1000)</x:f>
        <x:v>2000</x:v>
      </x:c>
      <x:c r="K91" s="62" t="n">
        <x:v>0.96</x:v>
      </x:c>
      <x:c r="L91" s="62" t="n">
        <x:v>1.12</x:v>
      </x:c>
      <x:c r="M91" s="66" t="n">
        <x:v>70</x:v>
      </x:c>
      <x:c r="N91" s="66" t="n">
        <x:v>140</x:v>
      </x:c>
      <x:c r="O91" s="54" t="n">
        <x:v>500</x:v>
      </x:c>
      <x:c r="P91" s="62" t="n">
        <x:v>0.1</x:v>
      </x:c>
      <x:c r="Q91" s="62" t="n">
        <x:v>0.2</x:v>
      </x:c>
      <x:c r="R91" s="54"/>
      <x:c r="S91" s="62" t="n">
        <x:v>1.204</x:v>
      </x:c>
      <x:c r="T91" s="54" t="n">
        <x:v>343.2</x:v>
      </x:c>
      <x:c r="U91" s="86" t="n">
        <x:f>IF(OR(S91="",T91=""),"",S91*T91)</x:f>
        <x:v>413.21279999999996</x:v>
      </x:c>
      <x:c r="V91" s="46" t="str">
        <x:v>DÜŞÜK</x:v>
      </x:c>
      <x:c r="W91" s="46" t="str"/>
      <x:c r="X91" s="50" t="str">
        <x:v>σ, φ, α∞, Λ ve Λ' JCA/JCAL başlangıç tahminidir; empedans tüpü/akış direnci ölçümüyle kalibre edilmelidir. Çerçeve limp/elastic seçimi önemlidir.</x:v>
      </x:c>
    </x:row>
    <x:row r="92">
      <x:c r="A92" s="46" t="str">
        <x:v>MW-STONE-D100-T60</x:v>
      </x:c>
      <x:c r="B92" s="46" t="str">
        <x:v>Mineral yün</x:v>
      </x:c>
      <x:c r="C92" s="46" t="str">
        <x:v>Taş yünü – genel</x:v>
      </x:c>
      <x:c r="D92" s="46" t="str">
        <x:v>GENERIC</x:v>
      </x:c>
      <x:c r="E92" s="46" t="str">
        <x:v>Stone wool 100 kg/m³</x:v>
      </x:c>
      <x:c r="F92" s="70" t="str">
        <x:v>JCA_STARTING_ESTIMATE</x:v>
      </x:c>
      <x:c r="G92" s="54" t="n">
        <x:v>60</x:v>
      </x:c>
      <x:c r="H92" s="54" t="n">
        <x:v>100</x:v>
      </x:c>
      <x:c r="I92" s="66" t="n">
        <x:v>40000</x:v>
      </x:c>
      <x:c r="J92" s="76" t="n">
        <x:f>IF(OR(G92="",I92=""),"",I92*G92/1000)</x:f>
        <x:v>2400</x:v>
      </x:c>
      <x:c r="K92" s="62" t="n">
        <x:v>0.96</x:v>
      </x:c>
      <x:c r="L92" s="62" t="n">
        <x:v>1.12</x:v>
      </x:c>
      <x:c r="M92" s="66" t="n">
        <x:v>70</x:v>
      </x:c>
      <x:c r="N92" s="66" t="n">
        <x:v>140</x:v>
      </x:c>
      <x:c r="O92" s="54" t="n">
        <x:v>500</x:v>
      </x:c>
      <x:c r="P92" s="62" t="n">
        <x:v>0.1</x:v>
      </x:c>
      <x:c r="Q92" s="62" t="n">
        <x:v>0.2</x:v>
      </x:c>
      <x:c r="R92" s="54"/>
      <x:c r="S92" s="62" t="n">
        <x:v>1.204</x:v>
      </x:c>
      <x:c r="T92" s="54" t="n">
        <x:v>343.2</x:v>
      </x:c>
      <x:c r="U92" s="86" t="n">
        <x:f>IF(OR(S92="",T92=""),"",S92*T92)</x:f>
        <x:v>413.21279999999996</x:v>
      </x:c>
      <x:c r="V92" s="46" t="str">
        <x:v>DÜŞÜK</x:v>
      </x:c>
      <x:c r="W92" s="46" t="str"/>
      <x:c r="X92" s="50" t="str">
        <x:v>σ, φ, α∞, Λ ve Λ' JCA/JCAL başlangıç tahminidir; empedans tüpü/akış direnci ölçümüyle kalibre edilmelidir. Çerçeve limp/elastic seçimi önemlidir.</x:v>
      </x:c>
    </x:row>
    <x:row r="93">
      <x:c r="A93" s="46" t="str">
        <x:v>MW-STONE-D100-T75</x:v>
      </x:c>
      <x:c r="B93" s="46" t="str">
        <x:v>Mineral yün</x:v>
      </x:c>
      <x:c r="C93" s="46" t="str">
        <x:v>Taş yünü – genel</x:v>
      </x:c>
      <x:c r="D93" s="46" t="str">
        <x:v>GENERIC</x:v>
      </x:c>
      <x:c r="E93" s="46" t="str">
        <x:v>Stone wool 100 kg/m³</x:v>
      </x:c>
      <x:c r="F93" s="70" t="str">
        <x:v>JCA_STARTING_ESTIMATE</x:v>
      </x:c>
      <x:c r="G93" s="54" t="n">
        <x:v>75</x:v>
      </x:c>
      <x:c r="H93" s="54" t="n">
        <x:v>100</x:v>
      </x:c>
      <x:c r="I93" s="66" t="n">
        <x:v>40000</x:v>
      </x:c>
      <x:c r="J93" s="76" t="n">
        <x:f>IF(OR(G93="",I93=""),"",I93*G93/1000)</x:f>
        <x:v>3000</x:v>
      </x:c>
      <x:c r="K93" s="62" t="n">
        <x:v>0.96</x:v>
      </x:c>
      <x:c r="L93" s="62" t="n">
        <x:v>1.12</x:v>
      </x:c>
      <x:c r="M93" s="66" t="n">
        <x:v>70</x:v>
      </x:c>
      <x:c r="N93" s="66" t="n">
        <x:v>140</x:v>
      </x:c>
      <x:c r="O93" s="54" t="n">
        <x:v>500</x:v>
      </x:c>
      <x:c r="P93" s="62" t="n">
        <x:v>0.1</x:v>
      </x:c>
      <x:c r="Q93" s="62" t="n">
        <x:v>0.2</x:v>
      </x:c>
      <x:c r="R93" s="54"/>
      <x:c r="S93" s="62" t="n">
        <x:v>1.204</x:v>
      </x:c>
      <x:c r="T93" s="54" t="n">
        <x:v>343.2</x:v>
      </x:c>
      <x:c r="U93" s="86" t="n">
        <x:f>IF(OR(S93="",T93=""),"",S93*T93)</x:f>
        <x:v>413.21279999999996</x:v>
      </x:c>
      <x:c r="V93" s="46" t="str">
        <x:v>DÜŞÜK</x:v>
      </x:c>
      <x:c r="W93" s="46" t="str"/>
      <x:c r="X93" s="50" t="str">
        <x:v>σ, φ, α∞, Λ ve Λ' JCA/JCAL başlangıç tahminidir; empedans tüpü/akış direnci ölçümüyle kalibre edilmelidir. Çerçeve limp/elastic seçimi önemlidir.</x:v>
      </x:c>
    </x:row>
    <x:row r="94">
      <x:c r="A94" s="46" t="str">
        <x:v>MW-STONE-D100-T80</x:v>
      </x:c>
      <x:c r="B94" s="46" t="str">
        <x:v>Mineral yün</x:v>
      </x:c>
      <x:c r="C94" s="46" t="str">
        <x:v>Taş yünü – genel</x:v>
      </x:c>
      <x:c r="D94" s="46" t="str">
        <x:v>GENERIC</x:v>
      </x:c>
      <x:c r="E94" s="46" t="str">
        <x:v>Stone wool 100 kg/m³</x:v>
      </x:c>
      <x:c r="F94" s="70" t="str">
        <x:v>JCA_STARTING_ESTIMATE</x:v>
      </x:c>
      <x:c r="G94" s="54" t="n">
        <x:v>80</x:v>
      </x:c>
      <x:c r="H94" s="54" t="n">
        <x:v>100</x:v>
      </x:c>
      <x:c r="I94" s="66" t="n">
        <x:v>40000</x:v>
      </x:c>
      <x:c r="J94" s="76" t="n">
        <x:f>IF(OR(G94="",I94=""),"",I94*G94/1000)</x:f>
        <x:v>3200</x:v>
      </x:c>
      <x:c r="K94" s="62" t="n">
        <x:v>0.96</x:v>
      </x:c>
      <x:c r="L94" s="62" t="n">
        <x:v>1.12</x:v>
      </x:c>
      <x:c r="M94" s="66" t="n">
        <x:v>70</x:v>
      </x:c>
      <x:c r="N94" s="66" t="n">
        <x:v>140</x:v>
      </x:c>
      <x:c r="O94" s="54" t="n">
        <x:v>500</x:v>
      </x:c>
      <x:c r="P94" s="62" t="n">
        <x:v>0.1</x:v>
      </x:c>
      <x:c r="Q94" s="62" t="n">
        <x:v>0.2</x:v>
      </x:c>
      <x:c r="R94" s="54"/>
      <x:c r="S94" s="62" t="n">
        <x:v>1.204</x:v>
      </x:c>
      <x:c r="T94" s="54" t="n">
        <x:v>343.2</x:v>
      </x:c>
      <x:c r="U94" s="86" t="n">
        <x:f>IF(OR(S94="",T94=""),"",S94*T94)</x:f>
        <x:v>413.21279999999996</x:v>
      </x:c>
      <x:c r="V94" s="46" t="str">
        <x:v>DÜŞÜK</x:v>
      </x:c>
      <x:c r="W94" s="46" t="str"/>
      <x:c r="X94" s="50" t="str">
        <x:v>σ, φ, α∞, Λ ve Λ' JCA/JCAL başlangıç tahminidir; empedans tüpü/akış direnci ölçümüyle kalibre edilmelidir. Çerçeve limp/elastic seçimi önemlidir.</x:v>
      </x:c>
    </x:row>
    <x:row r="95">
      <x:c r="A95" s="46" t="str">
        <x:v>MW-STONE-D100-T100</x:v>
      </x:c>
      <x:c r="B95" s="46" t="str">
        <x:v>Mineral yün</x:v>
      </x:c>
      <x:c r="C95" s="46" t="str">
        <x:v>Taş yünü – genel</x:v>
      </x:c>
      <x:c r="D95" s="46" t="str">
        <x:v>GENERIC</x:v>
      </x:c>
      <x:c r="E95" s="46" t="str">
        <x:v>Stone wool 100 kg/m³</x:v>
      </x:c>
      <x:c r="F95" s="70" t="str">
        <x:v>JCA_STARTING_ESTIMATE</x:v>
      </x:c>
      <x:c r="G95" s="54" t="n">
        <x:v>100</x:v>
      </x:c>
      <x:c r="H95" s="54" t="n">
        <x:v>100</x:v>
      </x:c>
      <x:c r="I95" s="66" t="n">
        <x:v>40000</x:v>
      </x:c>
      <x:c r="J95" s="76" t="n">
        <x:f>IF(OR(G95="",I95=""),"",I95*G95/1000)</x:f>
        <x:v>4000</x:v>
      </x:c>
      <x:c r="K95" s="62" t="n">
        <x:v>0.96</x:v>
      </x:c>
      <x:c r="L95" s="62" t="n">
        <x:v>1.12</x:v>
      </x:c>
      <x:c r="M95" s="66" t="n">
        <x:v>70</x:v>
      </x:c>
      <x:c r="N95" s="66" t="n">
        <x:v>140</x:v>
      </x:c>
      <x:c r="O95" s="54" t="n">
        <x:v>500</x:v>
      </x:c>
      <x:c r="P95" s="62" t="n">
        <x:v>0.1</x:v>
      </x:c>
      <x:c r="Q95" s="62" t="n">
        <x:v>0.2</x:v>
      </x:c>
      <x:c r="R95" s="54"/>
      <x:c r="S95" s="62" t="n">
        <x:v>1.204</x:v>
      </x:c>
      <x:c r="T95" s="54" t="n">
        <x:v>343.2</x:v>
      </x:c>
      <x:c r="U95" s="86" t="n">
        <x:f>IF(OR(S95="",T95=""),"",S95*T95)</x:f>
        <x:v>413.21279999999996</x:v>
      </x:c>
      <x:c r="V95" s="46" t="str">
        <x:v>DÜŞÜK</x:v>
      </x:c>
      <x:c r="W95" s="46" t="str"/>
      <x:c r="X95" s="50" t="str">
        <x:v>σ, φ, α∞, Λ ve Λ' JCA/JCAL başlangıç tahminidir; empedans tüpü/akış direnci ölçümüyle kalibre edilmelidir. Çerçeve limp/elastic seçimi önemlidir.</x:v>
      </x:c>
    </x:row>
    <x:row r="96">
      <x:c r="A96" s="46" t="str">
        <x:v>MW-STONE-D100-T120</x:v>
      </x:c>
      <x:c r="B96" s="46" t="str">
        <x:v>Mineral yün</x:v>
      </x:c>
      <x:c r="C96" s="46" t="str">
        <x:v>Taş yünü – genel</x:v>
      </x:c>
      <x:c r="D96" s="46" t="str">
        <x:v>GENERIC</x:v>
      </x:c>
      <x:c r="E96" s="46" t="str">
        <x:v>Stone wool 100 kg/m³</x:v>
      </x:c>
      <x:c r="F96" s="70" t="str">
        <x:v>JCA_STARTING_ESTIMATE</x:v>
      </x:c>
      <x:c r="G96" s="54" t="n">
        <x:v>120</x:v>
      </x:c>
      <x:c r="H96" s="54" t="n">
        <x:v>100</x:v>
      </x:c>
      <x:c r="I96" s="66" t="n">
        <x:v>40000</x:v>
      </x:c>
      <x:c r="J96" s="76" t="n">
        <x:f>IF(OR(G96="",I96=""),"",I96*G96/1000)</x:f>
        <x:v>4800</x:v>
      </x:c>
      <x:c r="K96" s="62" t="n">
        <x:v>0.96</x:v>
      </x:c>
      <x:c r="L96" s="62" t="n">
        <x:v>1.12</x:v>
      </x:c>
      <x:c r="M96" s="66" t="n">
        <x:v>70</x:v>
      </x:c>
      <x:c r="N96" s="66" t="n">
        <x:v>140</x:v>
      </x:c>
      <x:c r="O96" s="54" t="n">
        <x:v>500</x:v>
      </x:c>
      <x:c r="P96" s="62" t="n">
        <x:v>0.1</x:v>
      </x:c>
      <x:c r="Q96" s="62" t="n">
        <x:v>0.2</x:v>
      </x:c>
      <x:c r="R96" s="54"/>
      <x:c r="S96" s="62" t="n">
        <x:v>1.204</x:v>
      </x:c>
      <x:c r="T96" s="54" t="n">
        <x:v>343.2</x:v>
      </x:c>
      <x:c r="U96" s="86" t="n">
        <x:f>IF(OR(S96="",T96=""),"",S96*T96)</x:f>
        <x:v>413.21279999999996</x:v>
      </x:c>
      <x:c r="V96" s="46" t="str">
        <x:v>DÜŞÜK</x:v>
      </x:c>
      <x:c r="W96" s="46" t="str"/>
      <x:c r="X96" s="50" t="str">
        <x:v>σ, φ, α∞, Λ ve Λ' JCA/JCAL başlangıç tahminidir; empedans tüpü/akış direnci ölçümüyle kalibre edilmelidir. Çerçeve limp/elastic seçimi önemlidir.</x:v>
      </x:c>
    </x:row>
    <x:row r="97">
      <x:c r="A97" s="46" t="str">
        <x:v>MW-STONE-D100-T150</x:v>
      </x:c>
      <x:c r="B97" s="46" t="str">
        <x:v>Mineral yün</x:v>
      </x:c>
      <x:c r="C97" s="46" t="str">
        <x:v>Taş yünü – genel</x:v>
      </x:c>
      <x:c r="D97" s="46" t="str">
        <x:v>GENERIC</x:v>
      </x:c>
      <x:c r="E97" s="46" t="str">
        <x:v>Stone wool 100 kg/m³</x:v>
      </x:c>
      <x:c r="F97" s="70" t="str">
        <x:v>JCA_STARTING_ESTIMATE</x:v>
      </x:c>
      <x:c r="G97" s="54" t="n">
        <x:v>150</x:v>
      </x:c>
      <x:c r="H97" s="54" t="n">
        <x:v>100</x:v>
      </x:c>
      <x:c r="I97" s="66" t="n">
        <x:v>40000</x:v>
      </x:c>
      <x:c r="J97" s="76" t="n">
        <x:f>IF(OR(G97="",I97=""),"",I97*G97/1000)</x:f>
        <x:v>6000</x:v>
      </x:c>
      <x:c r="K97" s="62" t="n">
        <x:v>0.96</x:v>
      </x:c>
      <x:c r="L97" s="62" t="n">
        <x:v>1.12</x:v>
      </x:c>
      <x:c r="M97" s="66" t="n">
        <x:v>70</x:v>
      </x:c>
      <x:c r="N97" s="66" t="n">
        <x:v>140</x:v>
      </x:c>
      <x:c r="O97" s="54" t="n">
        <x:v>500</x:v>
      </x:c>
      <x:c r="P97" s="62" t="n">
        <x:v>0.1</x:v>
      </x:c>
      <x:c r="Q97" s="62" t="n">
        <x:v>0.2</x:v>
      </x:c>
      <x:c r="R97" s="54"/>
      <x:c r="S97" s="62" t="n">
        <x:v>1.204</x:v>
      </x:c>
      <x:c r="T97" s="54" t="n">
        <x:v>343.2</x:v>
      </x:c>
      <x:c r="U97" s="86" t="n">
        <x:f>IF(OR(S97="",T97=""),"",S97*T97)</x:f>
        <x:v>413.21279999999996</x:v>
      </x:c>
      <x:c r="V97" s="46" t="str">
        <x:v>DÜŞÜK</x:v>
      </x:c>
      <x:c r="W97" s="46" t="str"/>
      <x:c r="X97" s="50" t="str">
        <x:v>σ, φ, α∞, Λ ve Λ' JCA/JCAL başlangıç tahminidir; empedans tüpü/akış direnci ölçümüyle kalibre edilmelidir. Çerçeve limp/elastic seçimi önemlidir.</x:v>
      </x:c>
    </x:row>
    <x:row r="98">
      <x:c r="A98" s="46" t="str">
        <x:v>MW-STONE-D120-T25</x:v>
      </x:c>
      <x:c r="B98" s="46" t="str">
        <x:v>Mineral yün</x:v>
      </x:c>
      <x:c r="C98" s="46" t="str">
        <x:v>Taş yünü – genel</x:v>
      </x:c>
      <x:c r="D98" s="46" t="str">
        <x:v>GENERIC</x:v>
      </x:c>
      <x:c r="E98" s="46" t="str">
        <x:v>Stone wool 120 kg/m³</x:v>
      </x:c>
      <x:c r="F98" s="70" t="str">
        <x:v>JCA_STARTING_ESTIMATE</x:v>
      </x:c>
      <x:c r="G98" s="54" t="n">
        <x:v>25</x:v>
      </x:c>
      <x:c r="H98" s="54" t="n">
        <x:v>120</x:v>
      </x:c>
      <x:c r="I98" s="66" t="n">
        <x:v>50000</x:v>
      </x:c>
      <x:c r="J98" s="76" t="n">
        <x:f>IF(OR(G98="",I98=""),"",I98*G98/1000)</x:f>
        <x:v>1250</x:v>
      </x:c>
      <x:c r="K98" s="62" t="n">
        <x:v>0.96</x:v>
      </x:c>
      <x:c r="L98" s="62" t="n">
        <x:v>1.12</x:v>
      </x:c>
      <x:c r="M98" s="66" t="n">
        <x:v>70</x:v>
      </x:c>
      <x:c r="N98" s="66" t="n">
        <x:v>140</x:v>
      </x:c>
      <x:c r="O98" s="54" t="n">
        <x:v>800</x:v>
      </x:c>
      <x:c r="P98" s="62" t="n">
        <x:v>0.1</x:v>
      </x:c>
      <x:c r="Q98" s="62" t="n">
        <x:v>0.2</x:v>
      </x:c>
      <x:c r="R98" s="54"/>
      <x:c r="S98" s="62" t="n">
        <x:v>1.204</x:v>
      </x:c>
      <x:c r="T98" s="54" t="n">
        <x:v>343.2</x:v>
      </x:c>
      <x:c r="U98" s="86" t="n">
        <x:f>IF(OR(S98="",T98=""),"",S98*T98)</x:f>
        <x:v>413.21279999999996</x:v>
      </x:c>
      <x:c r="V98" s="46" t="str">
        <x:v>DÜŞÜK</x:v>
      </x:c>
      <x:c r="W98" s="46" t="str"/>
      <x:c r="X98" s="50" t="str">
        <x:v>σ, φ, α∞, Λ ve Λ' JCA/JCAL başlangıç tahminidir; empedans tüpü/akış direnci ölçümüyle kalibre edilmelidir. Çerçeve limp/elastic seçimi önemlidir.</x:v>
      </x:c>
    </x:row>
    <x:row r="99">
      <x:c r="A99" s="46" t="str">
        <x:v>MW-STONE-D120-T40</x:v>
      </x:c>
      <x:c r="B99" s="46" t="str">
        <x:v>Mineral yün</x:v>
      </x:c>
      <x:c r="C99" s="46" t="str">
        <x:v>Taş yünü – genel</x:v>
      </x:c>
      <x:c r="D99" s="46" t="str">
        <x:v>GENERIC</x:v>
      </x:c>
      <x:c r="E99" s="46" t="str">
        <x:v>Stone wool 120 kg/m³</x:v>
      </x:c>
      <x:c r="F99" s="70" t="str">
        <x:v>JCA_STARTING_ESTIMATE</x:v>
      </x:c>
      <x:c r="G99" s="54" t="n">
        <x:v>40</x:v>
      </x:c>
      <x:c r="H99" s="54" t="n">
        <x:v>120</x:v>
      </x:c>
      <x:c r="I99" s="66" t="n">
        <x:v>50000</x:v>
      </x:c>
      <x:c r="J99" s="76" t="n">
        <x:f>IF(OR(G99="",I99=""),"",I99*G99/1000)</x:f>
        <x:v>2000</x:v>
      </x:c>
      <x:c r="K99" s="62" t="n">
        <x:v>0.96</x:v>
      </x:c>
      <x:c r="L99" s="62" t="n">
        <x:v>1.12</x:v>
      </x:c>
      <x:c r="M99" s="66" t="n">
        <x:v>70</x:v>
      </x:c>
      <x:c r="N99" s="66" t="n">
        <x:v>140</x:v>
      </x:c>
      <x:c r="O99" s="54" t="n">
        <x:v>800</x:v>
      </x:c>
      <x:c r="P99" s="62" t="n">
        <x:v>0.1</x:v>
      </x:c>
      <x:c r="Q99" s="62" t="n">
        <x:v>0.2</x:v>
      </x:c>
      <x:c r="R99" s="54"/>
      <x:c r="S99" s="62" t="n">
        <x:v>1.204</x:v>
      </x:c>
      <x:c r="T99" s="54" t="n">
        <x:v>343.2</x:v>
      </x:c>
      <x:c r="U99" s="86" t="n">
        <x:f>IF(OR(S99="",T99=""),"",S99*T99)</x:f>
        <x:v>413.21279999999996</x:v>
      </x:c>
      <x:c r="V99" s="46" t="str">
        <x:v>DÜŞÜK</x:v>
      </x:c>
      <x:c r="W99" s="46" t="str"/>
      <x:c r="X99" s="50" t="str">
        <x:v>σ, φ, α∞, Λ ve Λ' JCA/JCAL başlangıç tahminidir; empedans tüpü/akış direnci ölçümüyle kalibre edilmelidir. Çerçeve limp/elastic seçimi önemlidir.</x:v>
      </x:c>
    </x:row>
    <x:row r="100">
      <x:c r="A100" s="46" t="str">
        <x:v>MW-STONE-D120-T50</x:v>
      </x:c>
      <x:c r="B100" s="46" t="str">
        <x:v>Mineral yün</x:v>
      </x:c>
      <x:c r="C100" s="46" t="str">
        <x:v>Taş yünü – genel</x:v>
      </x:c>
      <x:c r="D100" s="46" t="str">
        <x:v>GENERIC</x:v>
      </x:c>
      <x:c r="E100" s="46" t="str">
        <x:v>Stone wool 120 kg/m³</x:v>
      </x:c>
      <x:c r="F100" s="70" t="str">
        <x:v>JCA_STARTING_ESTIMATE</x:v>
      </x:c>
      <x:c r="G100" s="54" t="n">
        <x:v>50</x:v>
      </x:c>
      <x:c r="H100" s="54" t="n">
        <x:v>120</x:v>
      </x:c>
      <x:c r="I100" s="66" t="n">
        <x:v>50000</x:v>
      </x:c>
      <x:c r="J100" s="76" t="n">
        <x:f>IF(OR(G100="",I100=""),"",I100*G100/1000)</x:f>
        <x:v>2500</x:v>
      </x:c>
      <x:c r="K100" s="62" t="n">
        <x:v>0.96</x:v>
      </x:c>
      <x:c r="L100" s="62" t="n">
        <x:v>1.12</x:v>
      </x:c>
      <x:c r="M100" s="66" t="n">
        <x:v>70</x:v>
      </x:c>
      <x:c r="N100" s="66" t="n">
        <x:v>140</x:v>
      </x:c>
      <x:c r="O100" s="54" t="n">
        <x:v>800</x:v>
      </x:c>
      <x:c r="P100" s="62" t="n">
        <x:v>0.1</x:v>
      </x:c>
      <x:c r="Q100" s="62" t="n">
        <x:v>0.2</x:v>
      </x:c>
      <x:c r="R100" s="54"/>
      <x:c r="S100" s="62" t="n">
        <x:v>1.204</x:v>
      </x:c>
      <x:c r="T100" s="54" t="n">
        <x:v>343.2</x:v>
      </x:c>
      <x:c r="U100" s="86" t="n">
        <x:f>IF(OR(S100="",T100=""),"",S100*T100)</x:f>
        <x:v>413.21279999999996</x:v>
      </x:c>
      <x:c r="V100" s="46" t="str">
        <x:v>DÜŞÜK</x:v>
      </x:c>
      <x:c r="W100" s="46" t="str"/>
      <x:c r="X100" s="50" t="str">
        <x:v>σ, φ, α∞, Λ ve Λ' JCA/JCAL başlangıç tahminidir; empedans tüpü/akış direnci ölçümüyle kalibre edilmelidir. Çerçeve limp/elastic seçimi önemlidir.</x:v>
      </x:c>
    </x:row>
    <x:row r="101">
      <x:c r="A101" s="46" t="str">
        <x:v>MW-STONE-D120-T60</x:v>
      </x:c>
      <x:c r="B101" s="46" t="str">
        <x:v>Mineral yün</x:v>
      </x:c>
      <x:c r="C101" s="46" t="str">
        <x:v>Taş yünü – genel</x:v>
      </x:c>
      <x:c r="D101" s="46" t="str">
        <x:v>GENERIC</x:v>
      </x:c>
      <x:c r="E101" s="46" t="str">
        <x:v>Stone wool 120 kg/m³</x:v>
      </x:c>
      <x:c r="F101" s="70" t="str">
        <x:v>JCA_STARTING_ESTIMATE</x:v>
      </x:c>
      <x:c r="G101" s="54" t="n">
        <x:v>60</x:v>
      </x:c>
      <x:c r="H101" s="54" t="n">
        <x:v>120</x:v>
      </x:c>
      <x:c r="I101" s="66" t="n">
        <x:v>50000</x:v>
      </x:c>
      <x:c r="J101" s="76" t="n">
        <x:f>IF(OR(G101="",I101=""),"",I101*G101/1000)</x:f>
        <x:v>3000</x:v>
      </x:c>
      <x:c r="K101" s="62" t="n">
        <x:v>0.96</x:v>
      </x:c>
      <x:c r="L101" s="62" t="n">
        <x:v>1.12</x:v>
      </x:c>
      <x:c r="M101" s="66" t="n">
        <x:v>70</x:v>
      </x:c>
      <x:c r="N101" s="66" t="n">
        <x:v>140</x:v>
      </x:c>
      <x:c r="O101" s="54" t="n">
        <x:v>800</x:v>
      </x:c>
      <x:c r="P101" s="62" t="n">
        <x:v>0.1</x:v>
      </x:c>
      <x:c r="Q101" s="62" t="n">
        <x:v>0.2</x:v>
      </x:c>
      <x:c r="R101" s="54"/>
      <x:c r="S101" s="62" t="n">
        <x:v>1.204</x:v>
      </x:c>
      <x:c r="T101" s="54" t="n">
        <x:v>343.2</x:v>
      </x:c>
      <x:c r="U101" s="86" t="n">
        <x:f>IF(OR(S101="",T101=""),"",S101*T101)</x:f>
        <x:v>413.21279999999996</x:v>
      </x:c>
      <x:c r="V101" s="46" t="str">
        <x:v>DÜŞÜK</x:v>
      </x:c>
      <x:c r="W101" s="46" t="str"/>
      <x:c r="X101" s="50" t="str">
        <x:v>σ, φ, α∞, Λ ve Λ' JCA/JCAL başlangıç tahminidir; empedans tüpü/akış direnci ölçümüyle kalibre edilmelidir. Çerçeve limp/elastic seçimi önemlidir.</x:v>
      </x:c>
    </x:row>
    <x:row r="102">
      <x:c r="A102" s="46" t="str">
        <x:v>MW-STONE-D120-T75</x:v>
      </x:c>
      <x:c r="B102" s="46" t="str">
        <x:v>Mineral yün</x:v>
      </x:c>
      <x:c r="C102" s="46" t="str">
        <x:v>Taş yünü – genel</x:v>
      </x:c>
      <x:c r="D102" s="46" t="str">
        <x:v>GENERIC</x:v>
      </x:c>
      <x:c r="E102" s="46" t="str">
        <x:v>Stone wool 120 kg/m³</x:v>
      </x:c>
      <x:c r="F102" s="70" t="str">
        <x:v>JCA_STARTING_ESTIMATE</x:v>
      </x:c>
      <x:c r="G102" s="54" t="n">
        <x:v>75</x:v>
      </x:c>
      <x:c r="H102" s="54" t="n">
        <x:v>120</x:v>
      </x:c>
      <x:c r="I102" s="66" t="n">
        <x:v>50000</x:v>
      </x:c>
      <x:c r="J102" s="76" t="n">
        <x:f>IF(OR(G102="",I102=""),"",I102*G102/1000)</x:f>
        <x:v>3750</x:v>
      </x:c>
      <x:c r="K102" s="62" t="n">
        <x:v>0.96</x:v>
      </x:c>
      <x:c r="L102" s="62" t="n">
        <x:v>1.12</x:v>
      </x:c>
      <x:c r="M102" s="66" t="n">
        <x:v>70</x:v>
      </x:c>
      <x:c r="N102" s="66" t="n">
        <x:v>140</x:v>
      </x:c>
      <x:c r="O102" s="54" t="n">
        <x:v>800</x:v>
      </x:c>
      <x:c r="P102" s="62" t="n">
        <x:v>0.1</x:v>
      </x:c>
      <x:c r="Q102" s="62" t="n">
        <x:v>0.2</x:v>
      </x:c>
      <x:c r="R102" s="54"/>
      <x:c r="S102" s="62" t="n">
        <x:v>1.204</x:v>
      </x:c>
      <x:c r="T102" s="54" t="n">
        <x:v>343.2</x:v>
      </x:c>
      <x:c r="U102" s="86" t="n">
        <x:f>IF(OR(S102="",T102=""),"",S102*T102)</x:f>
        <x:v>413.21279999999996</x:v>
      </x:c>
      <x:c r="V102" s="46" t="str">
        <x:v>DÜŞÜK</x:v>
      </x:c>
      <x:c r="W102" s="46" t="str"/>
      <x:c r="X102" s="50" t="str">
        <x:v>σ, φ, α∞, Λ ve Λ' JCA/JCAL başlangıç tahminidir; empedans tüpü/akış direnci ölçümüyle kalibre edilmelidir. Çerçeve limp/elastic seçimi önemlidir.</x:v>
      </x:c>
    </x:row>
    <x:row r="103">
      <x:c r="A103" s="46" t="str">
        <x:v>MW-STONE-D120-T80</x:v>
      </x:c>
      <x:c r="B103" s="46" t="str">
        <x:v>Mineral yün</x:v>
      </x:c>
      <x:c r="C103" s="46" t="str">
        <x:v>Taş yünü – genel</x:v>
      </x:c>
      <x:c r="D103" s="46" t="str">
        <x:v>GENERIC</x:v>
      </x:c>
      <x:c r="E103" s="46" t="str">
        <x:v>Stone wool 120 kg/m³</x:v>
      </x:c>
      <x:c r="F103" s="70" t="str">
        <x:v>JCA_STARTING_ESTIMATE</x:v>
      </x:c>
      <x:c r="G103" s="54" t="n">
        <x:v>80</x:v>
      </x:c>
      <x:c r="H103" s="54" t="n">
        <x:v>120</x:v>
      </x:c>
      <x:c r="I103" s="66" t="n">
        <x:v>50000</x:v>
      </x:c>
      <x:c r="J103" s="76" t="n">
        <x:f>IF(OR(G103="",I103=""),"",I103*G103/1000)</x:f>
        <x:v>4000</x:v>
      </x:c>
      <x:c r="K103" s="62" t="n">
        <x:v>0.96</x:v>
      </x:c>
      <x:c r="L103" s="62" t="n">
        <x:v>1.12</x:v>
      </x:c>
      <x:c r="M103" s="66" t="n">
        <x:v>70</x:v>
      </x:c>
      <x:c r="N103" s="66" t="n">
        <x:v>140</x:v>
      </x:c>
      <x:c r="O103" s="54" t="n">
        <x:v>800</x:v>
      </x:c>
      <x:c r="P103" s="62" t="n">
        <x:v>0.1</x:v>
      </x:c>
      <x:c r="Q103" s="62" t="n">
        <x:v>0.2</x:v>
      </x:c>
      <x:c r="R103" s="54"/>
      <x:c r="S103" s="62" t="n">
        <x:v>1.204</x:v>
      </x:c>
      <x:c r="T103" s="54" t="n">
        <x:v>343.2</x:v>
      </x:c>
      <x:c r="U103" s="86" t="n">
        <x:f>IF(OR(S103="",T103=""),"",S103*T103)</x:f>
        <x:v>413.21279999999996</x:v>
      </x:c>
      <x:c r="V103" s="46" t="str">
        <x:v>DÜŞÜK</x:v>
      </x:c>
      <x:c r="W103" s="46" t="str"/>
      <x:c r="X103" s="50" t="str">
        <x:v>σ, φ, α∞, Λ ve Λ' JCA/JCAL başlangıç tahminidir; empedans tüpü/akış direnci ölçümüyle kalibre edilmelidir. Çerçeve limp/elastic seçimi önemlidir.</x:v>
      </x:c>
    </x:row>
    <x:row r="104">
      <x:c r="A104" s="46" t="str">
        <x:v>MW-STONE-D120-T100</x:v>
      </x:c>
      <x:c r="B104" s="46" t="str">
        <x:v>Mineral yün</x:v>
      </x:c>
      <x:c r="C104" s="46" t="str">
        <x:v>Taş yünü – genel</x:v>
      </x:c>
      <x:c r="D104" s="46" t="str">
        <x:v>GENERIC</x:v>
      </x:c>
      <x:c r="E104" s="46" t="str">
        <x:v>Stone wool 120 kg/m³</x:v>
      </x:c>
      <x:c r="F104" s="70" t="str">
        <x:v>JCA_STARTING_ESTIMATE</x:v>
      </x:c>
      <x:c r="G104" s="54" t="n">
        <x:v>100</x:v>
      </x:c>
      <x:c r="H104" s="54" t="n">
        <x:v>120</x:v>
      </x:c>
      <x:c r="I104" s="66" t="n">
        <x:v>50000</x:v>
      </x:c>
      <x:c r="J104" s="76" t="n">
        <x:f>IF(OR(G104="",I104=""),"",I104*G104/1000)</x:f>
        <x:v>5000</x:v>
      </x:c>
      <x:c r="K104" s="62" t="n">
        <x:v>0.96</x:v>
      </x:c>
      <x:c r="L104" s="62" t="n">
        <x:v>1.12</x:v>
      </x:c>
      <x:c r="M104" s="66" t="n">
        <x:v>70</x:v>
      </x:c>
      <x:c r="N104" s="66" t="n">
        <x:v>140</x:v>
      </x:c>
      <x:c r="O104" s="54" t="n">
        <x:v>800</x:v>
      </x:c>
      <x:c r="P104" s="62" t="n">
        <x:v>0.1</x:v>
      </x:c>
      <x:c r="Q104" s="62" t="n">
        <x:v>0.2</x:v>
      </x:c>
      <x:c r="R104" s="54"/>
      <x:c r="S104" s="62" t="n">
        <x:v>1.204</x:v>
      </x:c>
      <x:c r="T104" s="54" t="n">
        <x:v>343.2</x:v>
      </x:c>
      <x:c r="U104" s="86" t="n">
        <x:f>IF(OR(S104="",T104=""),"",S104*T104)</x:f>
        <x:v>413.21279999999996</x:v>
      </x:c>
      <x:c r="V104" s="46" t="str">
        <x:v>DÜŞÜK</x:v>
      </x:c>
      <x:c r="W104" s="46" t="str"/>
      <x:c r="X104" s="50" t="str">
        <x:v>σ, φ, α∞, Λ ve Λ' JCA/JCAL başlangıç tahminidir; empedans tüpü/akış direnci ölçümüyle kalibre edilmelidir. Çerçeve limp/elastic seçimi önemlidir.</x:v>
      </x:c>
    </x:row>
    <x:row r="105">
      <x:c r="A105" s="46" t="str">
        <x:v>MW-STONE-D120-T120</x:v>
      </x:c>
      <x:c r="B105" s="46" t="str">
        <x:v>Mineral yün</x:v>
      </x:c>
      <x:c r="C105" s="46" t="str">
        <x:v>Taş yünü – genel</x:v>
      </x:c>
      <x:c r="D105" s="46" t="str">
        <x:v>GENERIC</x:v>
      </x:c>
      <x:c r="E105" s="46" t="str">
        <x:v>Stone wool 120 kg/m³</x:v>
      </x:c>
      <x:c r="F105" s="70" t="str">
        <x:v>JCA_STARTING_ESTIMATE</x:v>
      </x:c>
      <x:c r="G105" s="54" t="n">
        <x:v>120</x:v>
      </x:c>
      <x:c r="H105" s="54" t="n">
        <x:v>120</x:v>
      </x:c>
      <x:c r="I105" s="66" t="n">
        <x:v>50000</x:v>
      </x:c>
      <x:c r="J105" s="76" t="n">
        <x:f>IF(OR(G105="",I105=""),"",I105*G105/1000)</x:f>
        <x:v>6000</x:v>
      </x:c>
      <x:c r="K105" s="62" t="n">
        <x:v>0.96</x:v>
      </x:c>
      <x:c r="L105" s="62" t="n">
        <x:v>1.12</x:v>
      </x:c>
      <x:c r="M105" s="66" t="n">
        <x:v>70</x:v>
      </x:c>
      <x:c r="N105" s="66" t="n">
        <x:v>140</x:v>
      </x:c>
      <x:c r="O105" s="54" t="n">
        <x:v>800</x:v>
      </x:c>
      <x:c r="P105" s="62" t="n">
        <x:v>0.1</x:v>
      </x:c>
      <x:c r="Q105" s="62" t="n">
        <x:v>0.2</x:v>
      </x:c>
      <x:c r="R105" s="54"/>
      <x:c r="S105" s="62" t="n">
        <x:v>1.204</x:v>
      </x:c>
      <x:c r="T105" s="54" t="n">
        <x:v>343.2</x:v>
      </x:c>
      <x:c r="U105" s="86" t="n">
        <x:f>IF(OR(S105="",T105=""),"",S105*T105)</x:f>
        <x:v>413.21279999999996</x:v>
      </x:c>
      <x:c r="V105" s="46" t="str">
        <x:v>DÜŞÜK</x:v>
      </x:c>
      <x:c r="W105" s="46" t="str"/>
      <x:c r="X105" s="50" t="str">
        <x:v>σ, φ, α∞, Λ ve Λ' JCA/JCAL başlangıç tahminidir; empedans tüpü/akış direnci ölçümüyle kalibre edilmelidir. Çerçeve limp/elastic seçimi önemlidir.</x:v>
      </x:c>
    </x:row>
    <x:row r="106">
      <x:c r="A106" s="46" t="str">
        <x:v>MW-STONE-D120-T150</x:v>
      </x:c>
      <x:c r="B106" s="46" t="str">
        <x:v>Mineral yün</x:v>
      </x:c>
      <x:c r="C106" s="46" t="str">
        <x:v>Taş yünü – genel</x:v>
      </x:c>
      <x:c r="D106" s="46" t="str">
        <x:v>GENERIC</x:v>
      </x:c>
      <x:c r="E106" s="46" t="str">
        <x:v>Stone wool 120 kg/m³</x:v>
      </x:c>
      <x:c r="F106" s="70" t="str">
        <x:v>JCA_STARTING_ESTIMATE</x:v>
      </x:c>
      <x:c r="G106" s="54" t="n">
        <x:v>150</x:v>
      </x:c>
      <x:c r="H106" s="54" t="n">
        <x:v>120</x:v>
      </x:c>
      <x:c r="I106" s="66" t="n">
        <x:v>50000</x:v>
      </x:c>
      <x:c r="J106" s="76" t="n">
        <x:f>IF(OR(G106="",I106=""),"",I106*G106/1000)</x:f>
        <x:v>7500</x:v>
      </x:c>
      <x:c r="K106" s="62" t="n">
        <x:v>0.96</x:v>
      </x:c>
      <x:c r="L106" s="62" t="n">
        <x:v>1.12</x:v>
      </x:c>
      <x:c r="M106" s="66" t="n">
        <x:v>70</x:v>
      </x:c>
      <x:c r="N106" s="66" t="n">
        <x:v>140</x:v>
      </x:c>
      <x:c r="O106" s="54" t="n">
        <x:v>800</x:v>
      </x:c>
      <x:c r="P106" s="62" t="n">
        <x:v>0.1</x:v>
      </x:c>
      <x:c r="Q106" s="62" t="n">
        <x:v>0.2</x:v>
      </x:c>
      <x:c r="R106" s="54"/>
      <x:c r="S106" s="62" t="n">
        <x:v>1.204</x:v>
      </x:c>
      <x:c r="T106" s="54" t="n">
        <x:v>343.2</x:v>
      </x:c>
      <x:c r="U106" s="86" t="n">
        <x:f>IF(OR(S106="",T106=""),"",S106*T106)</x:f>
        <x:v>413.21279999999996</x:v>
      </x:c>
      <x:c r="V106" s="46" t="str">
        <x:v>DÜŞÜK</x:v>
      </x:c>
      <x:c r="W106" s="46" t="str"/>
      <x:c r="X106" s="50" t="str">
        <x:v>σ, φ, α∞, Λ ve Λ' JCA/JCAL başlangıç tahminidir; empedans tüpü/akış direnci ölçümüyle kalibre edilmelidir. Çerçeve limp/elastic seçimi önemlidir.</x:v>
      </x:c>
    </x:row>
    <x:row r="107">
      <x:c r="A107" s="46" t="str">
        <x:v>MW-STONE-D140-T25</x:v>
      </x:c>
      <x:c r="B107" s="46" t="str">
        <x:v>Mineral yün</x:v>
      </x:c>
      <x:c r="C107" s="46" t="str">
        <x:v>Taş yünü – genel</x:v>
      </x:c>
      <x:c r="D107" s="46" t="str">
        <x:v>GENERIC</x:v>
      </x:c>
      <x:c r="E107" s="46" t="str">
        <x:v>Stone wool 140 kg/m³</x:v>
      </x:c>
      <x:c r="F107" s="70" t="str">
        <x:v>JCA_STARTING_ESTIMATE</x:v>
      </x:c>
      <x:c r="G107" s="54" t="n">
        <x:v>25</x:v>
      </x:c>
      <x:c r="H107" s="54" t="n">
        <x:v>140</x:v>
      </x:c>
      <x:c r="I107" s="66" t="n">
        <x:v>65000</x:v>
      </x:c>
      <x:c r="J107" s="76" t="n">
        <x:f>IF(OR(G107="",I107=""),"",I107*G107/1000)</x:f>
        <x:v>1625</x:v>
      </x:c>
      <x:c r="K107" s="62" t="n">
        <x:v>0.95</x:v>
      </x:c>
      <x:c r="L107" s="62" t="n">
        <x:v>1.18</x:v>
      </x:c>
      <x:c r="M107" s="66" t="n">
        <x:v>50</x:v>
      </x:c>
      <x:c r="N107" s="66" t="n">
        <x:v>100</x:v>
      </x:c>
      <x:c r="O107" s="54" t="n">
        <x:v>1200</x:v>
      </x:c>
      <x:c r="P107" s="62" t="n">
        <x:v>0.1</x:v>
      </x:c>
      <x:c r="Q107" s="62" t="n">
        <x:v>0.2</x:v>
      </x:c>
      <x:c r="R107" s="54"/>
      <x:c r="S107" s="62" t="n">
        <x:v>1.204</x:v>
      </x:c>
      <x:c r="T107" s="54" t="n">
        <x:v>343.2</x:v>
      </x:c>
      <x:c r="U107" s="86" t="n">
        <x:f>IF(OR(S107="",T107=""),"",S107*T107)</x:f>
        <x:v>413.21279999999996</x:v>
      </x:c>
      <x:c r="V107" s="46" t="str">
        <x:v>DÜŞÜK</x:v>
      </x:c>
      <x:c r="W107" s="46" t="str"/>
      <x:c r="X107" s="50" t="str">
        <x:v>σ, φ, α∞, Λ ve Λ' JCA/JCAL başlangıç tahminidir; empedans tüpü/akış direnci ölçümüyle kalibre edilmelidir. Çerçeve limp/elastic seçimi önemlidir.</x:v>
      </x:c>
    </x:row>
    <x:row r="108">
      <x:c r="A108" s="46" t="str">
        <x:v>MW-STONE-D140-T40</x:v>
      </x:c>
      <x:c r="B108" s="46" t="str">
        <x:v>Mineral yün</x:v>
      </x:c>
      <x:c r="C108" s="46" t="str">
        <x:v>Taş yünü – genel</x:v>
      </x:c>
      <x:c r="D108" s="46" t="str">
        <x:v>GENERIC</x:v>
      </x:c>
      <x:c r="E108" s="46" t="str">
        <x:v>Stone wool 140 kg/m³</x:v>
      </x:c>
      <x:c r="F108" s="70" t="str">
        <x:v>JCA_STARTING_ESTIMATE</x:v>
      </x:c>
      <x:c r="G108" s="54" t="n">
        <x:v>40</x:v>
      </x:c>
      <x:c r="H108" s="54" t="n">
        <x:v>140</x:v>
      </x:c>
      <x:c r="I108" s="66" t="n">
        <x:v>65000</x:v>
      </x:c>
      <x:c r="J108" s="76" t="n">
        <x:f>IF(OR(G108="",I108=""),"",I108*G108/1000)</x:f>
        <x:v>2600</x:v>
      </x:c>
      <x:c r="K108" s="62" t="n">
        <x:v>0.95</x:v>
      </x:c>
      <x:c r="L108" s="62" t="n">
        <x:v>1.18</x:v>
      </x:c>
      <x:c r="M108" s="66" t="n">
        <x:v>50</x:v>
      </x:c>
      <x:c r="N108" s="66" t="n">
        <x:v>100</x:v>
      </x:c>
      <x:c r="O108" s="54" t="n">
        <x:v>1200</x:v>
      </x:c>
      <x:c r="P108" s="62" t="n">
        <x:v>0.1</x:v>
      </x:c>
      <x:c r="Q108" s="62" t="n">
        <x:v>0.2</x:v>
      </x:c>
      <x:c r="R108" s="54"/>
      <x:c r="S108" s="62" t="n">
        <x:v>1.204</x:v>
      </x:c>
      <x:c r="T108" s="54" t="n">
        <x:v>343.2</x:v>
      </x:c>
      <x:c r="U108" s="86" t="n">
        <x:f>IF(OR(S108="",T108=""),"",S108*T108)</x:f>
        <x:v>413.21279999999996</x:v>
      </x:c>
      <x:c r="V108" s="46" t="str">
        <x:v>DÜŞÜK</x:v>
      </x:c>
      <x:c r="W108" s="46" t="str"/>
      <x:c r="X108" s="50" t="str">
        <x:v>σ, φ, α∞, Λ ve Λ' JCA/JCAL başlangıç tahminidir; empedans tüpü/akış direnci ölçümüyle kalibre edilmelidir. Çerçeve limp/elastic seçimi önemlidir.</x:v>
      </x:c>
    </x:row>
    <x:row r="109">
      <x:c r="A109" s="46" t="str">
        <x:v>MW-STONE-D140-T50</x:v>
      </x:c>
      <x:c r="B109" s="46" t="str">
        <x:v>Mineral yün</x:v>
      </x:c>
      <x:c r="C109" s="46" t="str">
        <x:v>Taş yünü – genel</x:v>
      </x:c>
      <x:c r="D109" s="46" t="str">
        <x:v>GENERIC</x:v>
      </x:c>
      <x:c r="E109" s="46" t="str">
        <x:v>Stone wool 140 kg/m³</x:v>
      </x:c>
      <x:c r="F109" s="70" t="str">
        <x:v>JCA_STARTING_ESTIMATE</x:v>
      </x:c>
      <x:c r="G109" s="54" t="n">
        <x:v>50</x:v>
      </x:c>
      <x:c r="H109" s="54" t="n">
        <x:v>140</x:v>
      </x:c>
      <x:c r="I109" s="66" t="n">
        <x:v>65000</x:v>
      </x:c>
      <x:c r="J109" s="76" t="n">
        <x:f>IF(OR(G109="",I109=""),"",I109*G109/1000)</x:f>
        <x:v>3250</x:v>
      </x:c>
      <x:c r="K109" s="62" t="n">
        <x:v>0.95</x:v>
      </x:c>
      <x:c r="L109" s="62" t="n">
        <x:v>1.18</x:v>
      </x:c>
      <x:c r="M109" s="66" t="n">
        <x:v>50</x:v>
      </x:c>
      <x:c r="N109" s="66" t="n">
        <x:v>100</x:v>
      </x:c>
      <x:c r="O109" s="54" t="n">
        <x:v>1200</x:v>
      </x:c>
      <x:c r="P109" s="62" t="n">
        <x:v>0.1</x:v>
      </x:c>
      <x:c r="Q109" s="62" t="n">
        <x:v>0.2</x:v>
      </x:c>
      <x:c r="R109" s="54"/>
      <x:c r="S109" s="62" t="n">
        <x:v>1.204</x:v>
      </x:c>
      <x:c r="T109" s="54" t="n">
        <x:v>343.2</x:v>
      </x:c>
      <x:c r="U109" s="86" t="n">
        <x:f>IF(OR(S109="",T109=""),"",S109*T109)</x:f>
        <x:v>413.21279999999996</x:v>
      </x:c>
      <x:c r="V109" s="46" t="str">
        <x:v>DÜŞÜK</x:v>
      </x:c>
      <x:c r="W109" s="46" t="str"/>
      <x:c r="X109" s="50" t="str">
        <x:v>σ, φ, α∞, Λ ve Λ' JCA/JCAL başlangıç tahminidir; empedans tüpü/akış direnci ölçümüyle kalibre edilmelidir. Çerçeve limp/elastic seçimi önemlidir.</x:v>
      </x:c>
    </x:row>
    <x:row r="110">
      <x:c r="A110" s="46" t="str">
        <x:v>MW-STONE-D140-T60</x:v>
      </x:c>
      <x:c r="B110" s="46" t="str">
        <x:v>Mineral yün</x:v>
      </x:c>
      <x:c r="C110" s="46" t="str">
        <x:v>Taş yünü – genel</x:v>
      </x:c>
      <x:c r="D110" s="46" t="str">
        <x:v>GENERIC</x:v>
      </x:c>
      <x:c r="E110" s="46" t="str">
        <x:v>Stone wool 140 kg/m³</x:v>
      </x:c>
      <x:c r="F110" s="70" t="str">
        <x:v>JCA_STARTING_ESTIMATE</x:v>
      </x:c>
      <x:c r="G110" s="54" t="n">
        <x:v>60</x:v>
      </x:c>
      <x:c r="H110" s="54" t="n">
        <x:v>140</x:v>
      </x:c>
      <x:c r="I110" s="66" t="n">
        <x:v>65000</x:v>
      </x:c>
      <x:c r="J110" s="76" t="n">
        <x:f>IF(OR(G110="",I110=""),"",I110*G110/1000)</x:f>
        <x:v>3900</x:v>
      </x:c>
      <x:c r="K110" s="62" t="n">
        <x:v>0.95</x:v>
      </x:c>
      <x:c r="L110" s="62" t="n">
        <x:v>1.18</x:v>
      </x:c>
      <x:c r="M110" s="66" t="n">
        <x:v>50</x:v>
      </x:c>
      <x:c r="N110" s="66" t="n">
        <x:v>100</x:v>
      </x:c>
      <x:c r="O110" s="54" t="n">
        <x:v>1200</x:v>
      </x:c>
      <x:c r="P110" s="62" t="n">
        <x:v>0.1</x:v>
      </x:c>
      <x:c r="Q110" s="62" t="n">
        <x:v>0.2</x:v>
      </x:c>
      <x:c r="R110" s="54"/>
      <x:c r="S110" s="62" t="n">
        <x:v>1.204</x:v>
      </x:c>
      <x:c r="T110" s="54" t="n">
        <x:v>343.2</x:v>
      </x:c>
      <x:c r="U110" s="86" t="n">
        <x:f>IF(OR(S110="",T110=""),"",S110*T110)</x:f>
        <x:v>413.21279999999996</x:v>
      </x:c>
      <x:c r="V110" s="46" t="str">
        <x:v>DÜŞÜK</x:v>
      </x:c>
      <x:c r="W110" s="46" t="str"/>
      <x:c r="X110" s="50" t="str">
        <x:v>σ, φ, α∞, Λ ve Λ' JCA/JCAL başlangıç tahminidir; empedans tüpü/akış direnci ölçümüyle kalibre edilmelidir. Çerçeve limp/elastic seçimi önemlidir.</x:v>
      </x:c>
    </x:row>
    <x:row r="111">
      <x:c r="A111" s="46" t="str">
        <x:v>MW-STONE-D140-T75</x:v>
      </x:c>
      <x:c r="B111" s="46" t="str">
        <x:v>Mineral yün</x:v>
      </x:c>
      <x:c r="C111" s="46" t="str">
        <x:v>Taş yünü – genel</x:v>
      </x:c>
      <x:c r="D111" s="46" t="str">
        <x:v>GENERIC</x:v>
      </x:c>
      <x:c r="E111" s="46" t="str">
        <x:v>Stone wool 140 kg/m³</x:v>
      </x:c>
      <x:c r="F111" s="70" t="str">
        <x:v>JCA_STARTING_ESTIMATE</x:v>
      </x:c>
      <x:c r="G111" s="54" t="n">
        <x:v>75</x:v>
      </x:c>
      <x:c r="H111" s="54" t="n">
        <x:v>140</x:v>
      </x:c>
      <x:c r="I111" s="66" t="n">
        <x:v>65000</x:v>
      </x:c>
      <x:c r="J111" s="76" t="n">
        <x:f>IF(OR(G111="",I111=""),"",I111*G111/1000)</x:f>
        <x:v>4875</x:v>
      </x:c>
      <x:c r="K111" s="62" t="n">
        <x:v>0.95</x:v>
      </x:c>
      <x:c r="L111" s="62" t="n">
        <x:v>1.18</x:v>
      </x:c>
      <x:c r="M111" s="66" t="n">
        <x:v>50</x:v>
      </x:c>
      <x:c r="N111" s="66" t="n">
        <x:v>100</x:v>
      </x:c>
      <x:c r="O111" s="54" t="n">
        <x:v>1200</x:v>
      </x:c>
      <x:c r="P111" s="62" t="n">
        <x:v>0.1</x:v>
      </x:c>
      <x:c r="Q111" s="62" t="n">
        <x:v>0.2</x:v>
      </x:c>
      <x:c r="R111" s="54"/>
      <x:c r="S111" s="62" t="n">
        <x:v>1.204</x:v>
      </x:c>
      <x:c r="T111" s="54" t="n">
        <x:v>343.2</x:v>
      </x:c>
      <x:c r="U111" s="86" t="n">
        <x:f>IF(OR(S111="",T111=""),"",S111*T111)</x:f>
        <x:v>413.21279999999996</x:v>
      </x:c>
      <x:c r="V111" s="46" t="str">
        <x:v>DÜŞÜK</x:v>
      </x:c>
      <x:c r="W111" s="46" t="str"/>
      <x:c r="X111" s="50" t="str">
        <x:v>σ, φ, α∞, Λ ve Λ' JCA/JCAL başlangıç tahminidir; empedans tüpü/akış direnci ölçümüyle kalibre edilmelidir. Çerçeve limp/elastic seçimi önemlidir.</x:v>
      </x:c>
    </x:row>
    <x:row r="112">
      <x:c r="A112" s="46" t="str">
        <x:v>MW-STONE-D140-T80</x:v>
      </x:c>
      <x:c r="B112" s="46" t="str">
        <x:v>Mineral yün</x:v>
      </x:c>
      <x:c r="C112" s="46" t="str">
        <x:v>Taş yünü – genel</x:v>
      </x:c>
      <x:c r="D112" s="46" t="str">
        <x:v>GENERIC</x:v>
      </x:c>
      <x:c r="E112" s="46" t="str">
        <x:v>Stone wool 140 kg/m³</x:v>
      </x:c>
      <x:c r="F112" s="70" t="str">
        <x:v>JCA_STARTING_ESTIMATE</x:v>
      </x:c>
      <x:c r="G112" s="54" t="n">
        <x:v>80</x:v>
      </x:c>
      <x:c r="H112" s="54" t="n">
        <x:v>140</x:v>
      </x:c>
      <x:c r="I112" s="66" t="n">
        <x:v>65000</x:v>
      </x:c>
      <x:c r="J112" s="76" t="n">
        <x:f>IF(OR(G112="",I112=""),"",I112*G112/1000)</x:f>
        <x:v>5200</x:v>
      </x:c>
      <x:c r="K112" s="62" t="n">
        <x:v>0.95</x:v>
      </x:c>
      <x:c r="L112" s="62" t="n">
        <x:v>1.18</x:v>
      </x:c>
      <x:c r="M112" s="66" t="n">
        <x:v>50</x:v>
      </x:c>
      <x:c r="N112" s="66" t="n">
        <x:v>100</x:v>
      </x:c>
      <x:c r="O112" s="54" t="n">
        <x:v>1200</x:v>
      </x:c>
      <x:c r="P112" s="62" t="n">
        <x:v>0.1</x:v>
      </x:c>
      <x:c r="Q112" s="62" t="n">
        <x:v>0.2</x:v>
      </x:c>
      <x:c r="R112" s="54"/>
      <x:c r="S112" s="62" t="n">
        <x:v>1.204</x:v>
      </x:c>
      <x:c r="T112" s="54" t="n">
        <x:v>343.2</x:v>
      </x:c>
      <x:c r="U112" s="86" t="n">
        <x:f>IF(OR(S112="",T112=""),"",S112*T112)</x:f>
        <x:v>413.21279999999996</x:v>
      </x:c>
      <x:c r="V112" s="46" t="str">
        <x:v>DÜŞÜK</x:v>
      </x:c>
      <x:c r="W112" s="46" t="str"/>
      <x:c r="X112" s="50" t="str">
        <x:v>σ, φ, α∞, Λ ve Λ' JCA/JCAL başlangıç tahminidir; empedans tüpü/akış direnci ölçümüyle kalibre edilmelidir. Çerçeve limp/elastic seçimi önemlidir.</x:v>
      </x:c>
    </x:row>
    <x:row r="113">
      <x:c r="A113" s="46" t="str">
        <x:v>MW-STONE-D140-T100</x:v>
      </x:c>
      <x:c r="B113" s="46" t="str">
        <x:v>Mineral yün</x:v>
      </x:c>
      <x:c r="C113" s="46" t="str">
        <x:v>Taş yünü – genel</x:v>
      </x:c>
      <x:c r="D113" s="46" t="str">
        <x:v>GENERIC</x:v>
      </x:c>
      <x:c r="E113" s="46" t="str">
        <x:v>Stone wool 140 kg/m³</x:v>
      </x:c>
      <x:c r="F113" s="70" t="str">
        <x:v>JCA_STARTING_ESTIMATE</x:v>
      </x:c>
      <x:c r="G113" s="54" t="n">
        <x:v>100</x:v>
      </x:c>
      <x:c r="H113" s="54" t="n">
        <x:v>140</x:v>
      </x:c>
      <x:c r="I113" s="66" t="n">
        <x:v>65000</x:v>
      </x:c>
      <x:c r="J113" s="76" t="n">
        <x:f>IF(OR(G113="",I113=""),"",I113*G113/1000)</x:f>
        <x:v>6500</x:v>
      </x:c>
      <x:c r="K113" s="62" t="n">
        <x:v>0.95</x:v>
      </x:c>
      <x:c r="L113" s="62" t="n">
        <x:v>1.18</x:v>
      </x:c>
      <x:c r="M113" s="66" t="n">
        <x:v>50</x:v>
      </x:c>
      <x:c r="N113" s="66" t="n">
        <x:v>100</x:v>
      </x:c>
      <x:c r="O113" s="54" t="n">
        <x:v>1200</x:v>
      </x:c>
      <x:c r="P113" s="62" t="n">
        <x:v>0.1</x:v>
      </x:c>
      <x:c r="Q113" s="62" t="n">
        <x:v>0.2</x:v>
      </x:c>
      <x:c r="R113" s="54"/>
      <x:c r="S113" s="62" t="n">
        <x:v>1.204</x:v>
      </x:c>
      <x:c r="T113" s="54" t="n">
        <x:v>343.2</x:v>
      </x:c>
      <x:c r="U113" s="86" t="n">
        <x:f>IF(OR(S113="",T113=""),"",S113*T113)</x:f>
        <x:v>413.21279999999996</x:v>
      </x:c>
      <x:c r="V113" s="46" t="str">
        <x:v>DÜŞÜK</x:v>
      </x:c>
      <x:c r="W113" s="46" t="str"/>
      <x:c r="X113" s="50" t="str">
        <x:v>σ, φ, α∞, Λ ve Λ' JCA/JCAL başlangıç tahminidir; empedans tüpü/akış direnci ölçümüyle kalibre edilmelidir. Çerçeve limp/elastic seçimi önemlidir.</x:v>
      </x:c>
    </x:row>
    <x:row r="114">
      <x:c r="A114" s="46" t="str">
        <x:v>MW-STONE-D140-T120</x:v>
      </x:c>
      <x:c r="B114" s="46" t="str">
        <x:v>Mineral yün</x:v>
      </x:c>
      <x:c r="C114" s="46" t="str">
        <x:v>Taş yünü – genel</x:v>
      </x:c>
      <x:c r="D114" s="46" t="str">
        <x:v>GENERIC</x:v>
      </x:c>
      <x:c r="E114" s="46" t="str">
        <x:v>Stone wool 140 kg/m³</x:v>
      </x:c>
      <x:c r="F114" s="70" t="str">
        <x:v>JCA_STARTING_ESTIMATE</x:v>
      </x:c>
      <x:c r="G114" s="54" t="n">
        <x:v>120</x:v>
      </x:c>
      <x:c r="H114" s="54" t="n">
        <x:v>140</x:v>
      </x:c>
      <x:c r="I114" s="66" t="n">
        <x:v>65000</x:v>
      </x:c>
      <x:c r="J114" s="76" t="n">
        <x:f>IF(OR(G114="",I114=""),"",I114*G114/1000)</x:f>
        <x:v>7800</x:v>
      </x:c>
      <x:c r="K114" s="62" t="n">
        <x:v>0.95</x:v>
      </x:c>
      <x:c r="L114" s="62" t="n">
        <x:v>1.18</x:v>
      </x:c>
      <x:c r="M114" s="66" t="n">
        <x:v>50</x:v>
      </x:c>
      <x:c r="N114" s="66" t="n">
        <x:v>100</x:v>
      </x:c>
      <x:c r="O114" s="54" t="n">
        <x:v>1200</x:v>
      </x:c>
      <x:c r="P114" s="62" t="n">
        <x:v>0.1</x:v>
      </x:c>
      <x:c r="Q114" s="62" t="n">
        <x:v>0.2</x:v>
      </x:c>
      <x:c r="R114" s="54"/>
      <x:c r="S114" s="62" t="n">
        <x:v>1.204</x:v>
      </x:c>
      <x:c r="T114" s="54" t="n">
        <x:v>343.2</x:v>
      </x:c>
      <x:c r="U114" s="86" t="n">
        <x:f>IF(OR(S114="",T114=""),"",S114*T114)</x:f>
        <x:v>413.21279999999996</x:v>
      </x:c>
      <x:c r="V114" s="46" t="str">
        <x:v>DÜŞÜK</x:v>
      </x:c>
      <x:c r="W114" s="46" t="str"/>
      <x:c r="X114" s="50" t="str">
        <x:v>σ, φ, α∞, Λ ve Λ' JCA/JCAL başlangıç tahminidir; empedans tüpü/akış direnci ölçümüyle kalibre edilmelidir. Çerçeve limp/elastic seçimi önemlidir.</x:v>
      </x:c>
    </x:row>
    <x:row r="115">
      <x:c r="A115" s="46" t="str">
        <x:v>MW-STONE-D140-T150</x:v>
      </x:c>
      <x:c r="B115" s="46" t="str">
        <x:v>Mineral yün</x:v>
      </x:c>
      <x:c r="C115" s="46" t="str">
        <x:v>Taş yünü – genel</x:v>
      </x:c>
      <x:c r="D115" s="46" t="str">
        <x:v>GENERIC</x:v>
      </x:c>
      <x:c r="E115" s="46" t="str">
        <x:v>Stone wool 140 kg/m³</x:v>
      </x:c>
      <x:c r="F115" s="70" t="str">
        <x:v>JCA_STARTING_ESTIMATE</x:v>
      </x:c>
      <x:c r="G115" s="54" t="n">
        <x:v>150</x:v>
      </x:c>
      <x:c r="H115" s="54" t="n">
        <x:v>140</x:v>
      </x:c>
      <x:c r="I115" s="66" t="n">
        <x:v>65000</x:v>
      </x:c>
      <x:c r="J115" s="76" t="n">
        <x:f>IF(OR(G115="",I115=""),"",I115*G115/1000)</x:f>
        <x:v>9750</x:v>
      </x:c>
      <x:c r="K115" s="62" t="n">
        <x:v>0.95</x:v>
      </x:c>
      <x:c r="L115" s="62" t="n">
        <x:v>1.18</x:v>
      </x:c>
      <x:c r="M115" s="66" t="n">
        <x:v>50</x:v>
      </x:c>
      <x:c r="N115" s="66" t="n">
        <x:v>100</x:v>
      </x:c>
      <x:c r="O115" s="54" t="n">
        <x:v>1200</x:v>
      </x:c>
      <x:c r="P115" s="62" t="n">
        <x:v>0.1</x:v>
      </x:c>
      <x:c r="Q115" s="62" t="n">
        <x:v>0.2</x:v>
      </x:c>
      <x:c r="R115" s="54"/>
      <x:c r="S115" s="62" t="n">
        <x:v>1.204</x:v>
      </x:c>
      <x:c r="T115" s="54" t="n">
        <x:v>343.2</x:v>
      </x:c>
      <x:c r="U115" s="86" t="n">
        <x:f>IF(OR(S115="",T115=""),"",S115*T115)</x:f>
        <x:v>413.21279999999996</x:v>
      </x:c>
      <x:c r="V115" s="46" t="str">
        <x:v>DÜŞÜK</x:v>
      </x:c>
      <x:c r="W115" s="46" t="str"/>
      <x:c r="X115" s="50" t="str">
        <x:v>σ, φ, α∞, Λ ve Λ' JCA/JCAL başlangıç tahminidir; empedans tüpü/akış direnci ölçümüyle kalibre edilmelidir. Çerçeve limp/elastic seçimi önemlidir.</x:v>
      </x:c>
    </x:row>
    <x:row r="116">
      <x:c r="A116" s="46" t="str">
        <x:v>MW-STONE-D160-T25</x:v>
      </x:c>
      <x:c r="B116" s="46" t="str">
        <x:v>Mineral yün</x:v>
      </x:c>
      <x:c r="C116" s="46" t="str">
        <x:v>Taş yünü – genel</x:v>
      </x:c>
      <x:c r="D116" s="46" t="str">
        <x:v>GENERIC</x:v>
      </x:c>
      <x:c r="E116" s="46" t="str">
        <x:v>Stone wool 160 kg/m³</x:v>
      </x:c>
      <x:c r="F116" s="70" t="str">
        <x:v>JCA_STARTING_ESTIMATE</x:v>
      </x:c>
      <x:c r="G116" s="54" t="n">
        <x:v>25</x:v>
      </x:c>
      <x:c r="H116" s="54" t="n">
        <x:v>160</x:v>
      </x:c>
      <x:c r="I116" s="66" t="n">
        <x:v>80000</x:v>
      </x:c>
      <x:c r="J116" s="76" t="n">
        <x:f>IF(OR(G116="",I116=""),"",I116*G116/1000)</x:f>
        <x:v>2000</x:v>
      </x:c>
      <x:c r="K116" s="62" t="n">
        <x:v>0.95</x:v>
      </x:c>
      <x:c r="L116" s="62" t="n">
        <x:v>1.18</x:v>
      </x:c>
      <x:c r="M116" s="66" t="n">
        <x:v>50</x:v>
      </x:c>
      <x:c r="N116" s="66" t="n">
        <x:v>100</x:v>
      </x:c>
      <x:c r="O116" s="54" t="n">
        <x:v>1800</x:v>
      </x:c>
      <x:c r="P116" s="62" t="n">
        <x:v>0.1</x:v>
      </x:c>
      <x:c r="Q116" s="62" t="n">
        <x:v>0.2</x:v>
      </x:c>
      <x:c r="R116" s="54"/>
      <x:c r="S116" s="62" t="n">
        <x:v>1.204</x:v>
      </x:c>
      <x:c r="T116" s="54" t="n">
        <x:v>343.2</x:v>
      </x:c>
      <x:c r="U116" s="86" t="n">
        <x:f>IF(OR(S116="",T116=""),"",S116*T116)</x:f>
        <x:v>413.21279999999996</x:v>
      </x:c>
      <x:c r="V116" s="46" t="str">
        <x:v>DÜŞÜK</x:v>
      </x:c>
      <x:c r="W116" s="46" t="str"/>
      <x:c r="X116" s="50" t="str">
        <x:v>σ, φ, α∞, Λ ve Λ' JCA/JCAL başlangıç tahminidir; empedans tüpü/akış direnci ölçümüyle kalibre edilmelidir. Çerçeve limp/elastic seçimi önemlidir.</x:v>
      </x:c>
    </x:row>
    <x:row r="117">
      <x:c r="A117" s="46" t="str">
        <x:v>MW-STONE-D160-T40</x:v>
      </x:c>
      <x:c r="B117" s="46" t="str">
        <x:v>Mineral yün</x:v>
      </x:c>
      <x:c r="C117" s="46" t="str">
        <x:v>Taş yünü – genel</x:v>
      </x:c>
      <x:c r="D117" s="46" t="str">
        <x:v>GENERIC</x:v>
      </x:c>
      <x:c r="E117" s="46" t="str">
        <x:v>Stone wool 160 kg/m³</x:v>
      </x:c>
      <x:c r="F117" s="70" t="str">
        <x:v>JCA_STARTING_ESTIMATE</x:v>
      </x:c>
      <x:c r="G117" s="54" t="n">
        <x:v>40</x:v>
      </x:c>
      <x:c r="H117" s="54" t="n">
        <x:v>160</x:v>
      </x:c>
      <x:c r="I117" s="66" t="n">
        <x:v>80000</x:v>
      </x:c>
      <x:c r="J117" s="76" t="n">
        <x:f>IF(OR(G117="",I117=""),"",I117*G117/1000)</x:f>
        <x:v>3200</x:v>
      </x:c>
      <x:c r="K117" s="62" t="n">
        <x:v>0.95</x:v>
      </x:c>
      <x:c r="L117" s="62" t="n">
        <x:v>1.18</x:v>
      </x:c>
      <x:c r="M117" s="66" t="n">
        <x:v>50</x:v>
      </x:c>
      <x:c r="N117" s="66" t="n">
        <x:v>100</x:v>
      </x:c>
      <x:c r="O117" s="54" t="n">
        <x:v>1800</x:v>
      </x:c>
      <x:c r="P117" s="62" t="n">
        <x:v>0.1</x:v>
      </x:c>
      <x:c r="Q117" s="62" t="n">
        <x:v>0.2</x:v>
      </x:c>
      <x:c r="R117" s="54"/>
      <x:c r="S117" s="62" t="n">
        <x:v>1.204</x:v>
      </x:c>
      <x:c r="T117" s="54" t="n">
        <x:v>343.2</x:v>
      </x:c>
      <x:c r="U117" s="86" t="n">
        <x:f>IF(OR(S117="",T117=""),"",S117*T117)</x:f>
        <x:v>413.21279999999996</x:v>
      </x:c>
      <x:c r="V117" s="46" t="str">
        <x:v>DÜŞÜK</x:v>
      </x:c>
      <x:c r="W117" s="46" t="str"/>
      <x:c r="X117" s="50" t="str">
        <x:v>σ, φ, α∞, Λ ve Λ' JCA/JCAL başlangıç tahminidir; empedans tüpü/akış direnci ölçümüyle kalibre edilmelidir. Çerçeve limp/elastic seçimi önemlidir.</x:v>
      </x:c>
    </x:row>
    <x:row r="118">
      <x:c r="A118" s="46" t="str">
        <x:v>MW-STONE-D160-T50</x:v>
      </x:c>
      <x:c r="B118" s="46" t="str">
        <x:v>Mineral yün</x:v>
      </x:c>
      <x:c r="C118" s="46" t="str">
        <x:v>Taş yünü – genel</x:v>
      </x:c>
      <x:c r="D118" s="46" t="str">
        <x:v>GENERIC</x:v>
      </x:c>
      <x:c r="E118" s="46" t="str">
        <x:v>Stone wool 160 kg/m³</x:v>
      </x:c>
      <x:c r="F118" s="70" t="str">
        <x:v>JCA_STARTING_ESTIMATE</x:v>
      </x:c>
      <x:c r="G118" s="54" t="n">
        <x:v>50</x:v>
      </x:c>
      <x:c r="H118" s="54" t="n">
        <x:v>160</x:v>
      </x:c>
      <x:c r="I118" s="66" t="n">
        <x:v>80000</x:v>
      </x:c>
      <x:c r="J118" s="76" t="n">
        <x:f>IF(OR(G118="",I118=""),"",I118*G118/1000)</x:f>
        <x:v>4000</x:v>
      </x:c>
      <x:c r="K118" s="62" t="n">
        <x:v>0.95</x:v>
      </x:c>
      <x:c r="L118" s="62" t="n">
        <x:v>1.18</x:v>
      </x:c>
      <x:c r="M118" s="66" t="n">
        <x:v>50</x:v>
      </x:c>
      <x:c r="N118" s="66" t="n">
        <x:v>100</x:v>
      </x:c>
      <x:c r="O118" s="54" t="n">
        <x:v>1800</x:v>
      </x:c>
      <x:c r="P118" s="62" t="n">
        <x:v>0.1</x:v>
      </x:c>
      <x:c r="Q118" s="62" t="n">
        <x:v>0.2</x:v>
      </x:c>
      <x:c r="R118" s="54"/>
      <x:c r="S118" s="62" t="n">
        <x:v>1.204</x:v>
      </x:c>
      <x:c r="T118" s="54" t="n">
        <x:v>343.2</x:v>
      </x:c>
      <x:c r="U118" s="86" t="n">
        <x:f>IF(OR(S118="",T118=""),"",S118*T118)</x:f>
        <x:v>413.21279999999996</x:v>
      </x:c>
      <x:c r="V118" s="46" t="str">
        <x:v>DÜŞÜK</x:v>
      </x:c>
      <x:c r="W118" s="46" t="str"/>
      <x:c r="X118" s="50" t="str">
        <x:v>σ, φ, α∞, Λ ve Λ' JCA/JCAL başlangıç tahminidir; empedans tüpü/akış direnci ölçümüyle kalibre edilmelidir. Çerçeve limp/elastic seçimi önemlidir.</x:v>
      </x:c>
    </x:row>
    <x:row r="119">
      <x:c r="A119" s="46" t="str">
        <x:v>MW-STONE-D160-T60</x:v>
      </x:c>
      <x:c r="B119" s="46" t="str">
        <x:v>Mineral yün</x:v>
      </x:c>
      <x:c r="C119" s="46" t="str">
        <x:v>Taş yünü – genel</x:v>
      </x:c>
      <x:c r="D119" s="46" t="str">
        <x:v>GENERIC</x:v>
      </x:c>
      <x:c r="E119" s="46" t="str">
        <x:v>Stone wool 160 kg/m³</x:v>
      </x:c>
      <x:c r="F119" s="70" t="str">
        <x:v>JCA_STARTING_ESTIMATE</x:v>
      </x:c>
      <x:c r="G119" s="54" t="n">
        <x:v>60</x:v>
      </x:c>
      <x:c r="H119" s="54" t="n">
        <x:v>160</x:v>
      </x:c>
      <x:c r="I119" s="66" t="n">
        <x:v>80000</x:v>
      </x:c>
      <x:c r="J119" s="76" t="n">
        <x:f>IF(OR(G119="",I119=""),"",I119*G119/1000)</x:f>
        <x:v>4800</x:v>
      </x:c>
      <x:c r="K119" s="62" t="n">
        <x:v>0.95</x:v>
      </x:c>
      <x:c r="L119" s="62" t="n">
        <x:v>1.18</x:v>
      </x:c>
      <x:c r="M119" s="66" t="n">
        <x:v>50</x:v>
      </x:c>
      <x:c r="N119" s="66" t="n">
        <x:v>100</x:v>
      </x:c>
      <x:c r="O119" s="54" t="n">
        <x:v>1800</x:v>
      </x:c>
      <x:c r="P119" s="62" t="n">
        <x:v>0.1</x:v>
      </x:c>
      <x:c r="Q119" s="62" t="n">
        <x:v>0.2</x:v>
      </x:c>
      <x:c r="R119" s="54"/>
      <x:c r="S119" s="62" t="n">
        <x:v>1.204</x:v>
      </x:c>
      <x:c r="T119" s="54" t="n">
        <x:v>343.2</x:v>
      </x:c>
      <x:c r="U119" s="86" t="n">
        <x:f>IF(OR(S119="",T119=""),"",S119*T119)</x:f>
        <x:v>413.21279999999996</x:v>
      </x:c>
      <x:c r="V119" s="46" t="str">
        <x:v>DÜŞÜK</x:v>
      </x:c>
      <x:c r="W119" s="46" t="str"/>
      <x:c r="X119" s="50" t="str">
        <x:v>σ, φ, α∞, Λ ve Λ' JCA/JCAL başlangıç tahminidir; empedans tüpü/akış direnci ölçümüyle kalibre edilmelidir. Çerçeve limp/elastic seçimi önemlidir.</x:v>
      </x:c>
    </x:row>
    <x:row r="120">
      <x:c r="A120" s="46" t="str">
        <x:v>MW-STONE-D160-T75</x:v>
      </x:c>
      <x:c r="B120" s="46" t="str">
        <x:v>Mineral yün</x:v>
      </x:c>
      <x:c r="C120" s="46" t="str">
        <x:v>Taş yünü – genel</x:v>
      </x:c>
      <x:c r="D120" s="46" t="str">
        <x:v>GENERIC</x:v>
      </x:c>
      <x:c r="E120" s="46" t="str">
        <x:v>Stone wool 160 kg/m³</x:v>
      </x:c>
      <x:c r="F120" s="70" t="str">
        <x:v>JCA_STARTING_ESTIMATE</x:v>
      </x:c>
      <x:c r="G120" s="54" t="n">
        <x:v>75</x:v>
      </x:c>
      <x:c r="H120" s="54" t="n">
        <x:v>160</x:v>
      </x:c>
      <x:c r="I120" s="66" t="n">
        <x:v>80000</x:v>
      </x:c>
      <x:c r="J120" s="76" t="n">
        <x:f>IF(OR(G120="",I120=""),"",I120*G120/1000)</x:f>
        <x:v>6000</x:v>
      </x:c>
      <x:c r="K120" s="62" t="n">
        <x:v>0.95</x:v>
      </x:c>
      <x:c r="L120" s="62" t="n">
        <x:v>1.18</x:v>
      </x:c>
      <x:c r="M120" s="66" t="n">
        <x:v>50</x:v>
      </x:c>
      <x:c r="N120" s="66" t="n">
        <x:v>100</x:v>
      </x:c>
      <x:c r="O120" s="54" t="n">
        <x:v>1800</x:v>
      </x:c>
      <x:c r="P120" s="62" t="n">
        <x:v>0.1</x:v>
      </x:c>
      <x:c r="Q120" s="62" t="n">
        <x:v>0.2</x:v>
      </x:c>
      <x:c r="R120" s="54"/>
      <x:c r="S120" s="62" t="n">
        <x:v>1.204</x:v>
      </x:c>
      <x:c r="T120" s="54" t="n">
        <x:v>343.2</x:v>
      </x:c>
      <x:c r="U120" s="86" t="n">
        <x:f>IF(OR(S120="",T120=""),"",S120*T120)</x:f>
        <x:v>413.21279999999996</x:v>
      </x:c>
      <x:c r="V120" s="46" t="str">
        <x:v>DÜŞÜK</x:v>
      </x:c>
      <x:c r="W120" s="46" t="str"/>
      <x:c r="X120" s="50" t="str">
        <x:v>σ, φ, α∞, Λ ve Λ' JCA/JCAL başlangıç tahminidir; empedans tüpü/akış direnci ölçümüyle kalibre edilmelidir. Çerçeve limp/elastic seçimi önemlidir.</x:v>
      </x:c>
    </x:row>
    <x:row r="121">
      <x:c r="A121" s="46" t="str">
        <x:v>MW-STONE-D160-T80</x:v>
      </x:c>
      <x:c r="B121" s="46" t="str">
        <x:v>Mineral yün</x:v>
      </x:c>
      <x:c r="C121" s="46" t="str">
        <x:v>Taş yünü – genel</x:v>
      </x:c>
      <x:c r="D121" s="46" t="str">
        <x:v>GENERIC</x:v>
      </x:c>
      <x:c r="E121" s="46" t="str">
        <x:v>Stone wool 160 kg/m³</x:v>
      </x:c>
      <x:c r="F121" s="70" t="str">
        <x:v>JCA_STARTING_ESTIMATE</x:v>
      </x:c>
      <x:c r="G121" s="54" t="n">
        <x:v>80</x:v>
      </x:c>
      <x:c r="H121" s="54" t="n">
        <x:v>160</x:v>
      </x:c>
      <x:c r="I121" s="66" t="n">
        <x:v>80000</x:v>
      </x:c>
      <x:c r="J121" s="76" t="n">
        <x:f>IF(OR(G121="",I121=""),"",I121*G121/1000)</x:f>
        <x:v>6400</x:v>
      </x:c>
      <x:c r="K121" s="62" t="n">
        <x:v>0.95</x:v>
      </x:c>
      <x:c r="L121" s="62" t="n">
        <x:v>1.18</x:v>
      </x:c>
      <x:c r="M121" s="66" t="n">
        <x:v>50</x:v>
      </x:c>
      <x:c r="N121" s="66" t="n">
        <x:v>100</x:v>
      </x:c>
      <x:c r="O121" s="54" t="n">
        <x:v>1800</x:v>
      </x:c>
      <x:c r="P121" s="62" t="n">
        <x:v>0.1</x:v>
      </x:c>
      <x:c r="Q121" s="62" t="n">
        <x:v>0.2</x:v>
      </x:c>
      <x:c r="R121" s="54"/>
      <x:c r="S121" s="62" t="n">
        <x:v>1.204</x:v>
      </x:c>
      <x:c r="T121" s="54" t="n">
        <x:v>343.2</x:v>
      </x:c>
      <x:c r="U121" s="86" t="n">
        <x:f>IF(OR(S121="",T121=""),"",S121*T121)</x:f>
        <x:v>413.21279999999996</x:v>
      </x:c>
      <x:c r="V121" s="46" t="str">
        <x:v>DÜŞÜK</x:v>
      </x:c>
      <x:c r="W121" s="46" t="str"/>
      <x:c r="X121" s="50" t="str">
        <x:v>σ, φ, α∞, Λ ve Λ' JCA/JCAL başlangıç tahminidir; empedans tüpü/akış direnci ölçümüyle kalibre edilmelidir. Çerçeve limp/elastic seçimi önemlidir.</x:v>
      </x:c>
    </x:row>
    <x:row r="122">
      <x:c r="A122" s="46" t="str">
        <x:v>MW-STONE-D160-T100</x:v>
      </x:c>
      <x:c r="B122" s="46" t="str">
        <x:v>Mineral yün</x:v>
      </x:c>
      <x:c r="C122" s="46" t="str">
        <x:v>Taş yünü – genel</x:v>
      </x:c>
      <x:c r="D122" s="46" t="str">
        <x:v>GENERIC</x:v>
      </x:c>
      <x:c r="E122" s="46" t="str">
        <x:v>Stone wool 160 kg/m³</x:v>
      </x:c>
      <x:c r="F122" s="70" t="str">
        <x:v>JCA_STARTING_ESTIMATE</x:v>
      </x:c>
      <x:c r="G122" s="54" t="n">
        <x:v>100</x:v>
      </x:c>
      <x:c r="H122" s="54" t="n">
        <x:v>160</x:v>
      </x:c>
      <x:c r="I122" s="66" t="n">
        <x:v>80000</x:v>
      </x:c>
      <x:c r="J122" s="76" t="n">
        <x:f>IF(OR(G122="",I122=""),"",I122*G122/1000)</x:f>
        <x:v>8000</x:v>
      </x:c>
      <x:c r="K122" s="62" t="n">
        <x:v>0.95</x:v>
      </x:c>
      <x:c r="L122" s="62" t="n">
        <x:v>1.18</x:v>
      </x:c>
      <x:c r="M122" s="66" t="n">
        <x:v>50</x:v>
      </x:c>
      <x:c r="N122" s="66" t="n">
        <x:v>100</x:v>
      </x:c>
      <x:c r="O122" s="54" t="n">
        <x:v>1800</x:v>
      </x:c>
      <x:c r="P122" s="62" t="n">
        <x:v>0.1</x:v>
      </x:c>
      <x:c r="Q122" s="62" t="n">
        <x:v>0.2</x:v>
      </x:c>
      <x:c r="R122" s="54"/>
      <x:c r="S122" s="62" t="n">
        <x:v>1.204</x:v>
      </x:c>
      <x:c r="T122" s="54" t="n">
        <x:v>343.2</x:v>
      </x:c>
      <x:c r="U122" s="86" t="n">
        <x:f>IF(OR(S122="",T122=""),"",S122*T122)</x:f>
        <x:v>413.21279999999996</x:v>
      </x:c>
      <x:c r="V122" s="46" t="str">
        <x:v>DÜŞÜK</x:v>
      </x:c>
      <x:c r="W122" s="46" t="str"/>
      <x:c r="X122" s="50" t="str">
        <x:v>σ, φ, α∞, Λ ve Λ' JCA/JCAL başlangıç tahminidir; empedans tüpü/akış direnci ölçümüyle kalibre edilmelidir. Çerçeve limp/elastic seçimi önemlidir.</x:v>
      </x:c>
    </x:row>
    <x:row r="123">
      <x:c r="A123" s="46" t="str">
        <x:v>MW-STONE-D160-T120</x:v>
      </x:c>
      <x:c r="B123" s="46" t="str">
        <x:v>Mineral yün</x:v>
      </x:c>
      <x:c r="C123" s="46" t="str">
        <x:v>Taş yünü – genel</x:v>
      </x:c>
      <x:c r="D123" s="46" t="str">
        <x:v>GENERIC</x:v>
      </x:c>
      <x:c r="E123" s="46" t="str">
        <x:v>Stone wool 160 kg/m³</x:v>
      </x:c>
      <x:c r="F123" s="70" t="str">
        <x:v>JCA_STARTING_ESTIMATE</x:v>
      </x:c>
      <x:c r="G123" s="54" t="n">
        <x:v>120</x:v>
      </x:c>
      <x:c r="H123" s="54" t="n">
        <x:v>160</x:v>
      </x:c>
      <x:c r="I123" s="66" t="n">
        <x:v>80000</x:v>
      </x:c>
      <x:c r="J123" s="76" t="n">
        <x:f>IF(OR(G123="",I123=""),"",I123*G123/1000)</x:f>
        <x:v>9600</x:v>
      </x:c>
      <x:c r="K123" s="62" t="n">
        <x:v>0.95</x:v>
      </x:c>
      <x:c r="L123" s="62" t="n">
        <x:v>1.18</x:v>
      </x:c>
      <x:c r="M123" s="66" t="n">
        <x:v>50</x:v>
      </x:c>
      <x:c r="N123" s="66" t="n">
        <x:v>100</x:v>
      </x:c>
      <x:c r="O123" s="54" t="n">
        <x:v>1800</x:v>
      </x:c>
      <x:c r="P123" s="62" t="n">
        <x:v>0.1</x:v>
      </x:c>
      <x:c r="Q123" s="62" t="n">
        <x:v>0.2</x:v>
      </x:c>
      <x:c r="R123" s="54"/>
      <x:c r="S123" s="62" t="n">
        <x:v>1.204</x:v>
      </x:c>
      <x:c r="T123" s="54" t="n">
        <x:v>343.2</x:v>
      </x:c>
      <x:c r="U123" s="86" t="n">
        <x:f>IF(OR(S123="",T123=""),"",S123*T123)</x:f>
        <x:v>413.21279999999996</x:v>
      </x:c>
      <x:c r="V123" s="46" t="str">
        <x:v>DÜŞÜK</x:v>
      </x:c>
      <x:c r="W123" s="46" t="str"/>
      <x:c r="X123" s="50" t="str">
        <x:v>σ, φ, α∞, Λ ve Λ' JCA/JCAL başlangıç tahminidir; empedans tüpü/akış direnci ölçümüyle kalibre edilmelidir. Çerçeve limp/elastic seçimi önemlidir.</x:v>
      </x:c>
    </x:row>
    <x:row r="124">
      <x:c r="A124" s="46" t="str">
        <x:v>MW-STONE-D160-T150</x:v>
      </x:c>
      <x:c r="B124" s="46" t="str">
        <x:v>Mineral yün</x:v>
      </x:c>
      <x:c r="C124" s="46" t="str">
        <x:v>Taş yünü – genel</x:v>
      </x:c>
      <x:c r="D124" s="46" t="str">
        <x:v>GENERIC</x:v>
      </x:c>
      <x:c r="E124" s="46" t="str">
        <x:v>Stone wool 160 kg/m³</x:v>
      </x:c>
      <x:c r="F124" s="70" t="str">
        <x:v>JCA_STARTING_ESTIMATE</x:v>
      </x:c>
      <x:c r="G124" s="54" t="n">
        <x:v>150</x:v>
      </x:c>
      <x:c r="H124" s="54" t="n">
        <x:v>160</x:v>
      </x:c>
      <x:c r="I124" s="66" t="n">
        <x:v>80000</x:v>
      </x:c>
      <x:c r="J124" s="76" t="n">
        <x:f>IF(OR(G124="",I124=""),"",I124*G124/1000)</x:f>
        <x:v>12000</x:v>
      </x:c>
      <x:c r="K124" s="62" t="n">
        <x:v>0.95</x:v>
      </x:c>
      <x:c r="L124" s="62" t="n">
        <x:v>1.18</x:v>
      </x:c>
      <x:c r="M124" s="66" t="n">
        <x:v>50</x:v>
      </x:c>
      <x:c r="N124" s="66" t="n">
        <x:v>100</x:v>
      </x:c>
      <x:c r="O124" s="54" t="n">
        <x:v>1800</x:v>
      </x:c>
      <x:c r="P124" s="62" t="n">
        <x:v>0.1</x:v>
      </x:c>
      <x:c r="Q124" s="62" t="n">
        <x:v>0.2</x:v>
      </x:c>
      <x:c r="R124" s="54"/>
      <x:c r="S124" s="62" t="n">
        <x:v>1.204</x:v>
      </x:c>
      <x:c r="T124" s="54" t="n">
        <x:v>343.2</x:v>
      </x:c>
      <x:c r="U124" s="86" t="n">
        <x:f>IF(OR(S124="",T124=""),"",S124*T124)</x:f>
        <x:v>413.21279999999996</x:v>
      </x:c>
      <x:c r="V124" s="46" t="str">
        <x:v>DÜŞÜK</x:v>
      </x:c>
      <x:c r="W124" s="46" t="str"/>
      <x:c r="X124" s="50" t="str">
        <x:v>σ, φ, α∞, Λ ve Λ' JCA/JCAL başlangıç tahminidir; empedans tüpü/akış direnci ölçümüyle kalibre edilmelidir. Çerçeve limp/elastic seçimi önemlidir.</x:v>
      </x:c>
    </x:row>
    <x:row r="125">
      <x:c r="A125" s="46" t="str">
        <x:v>MW-GLASS-D12-T25</x:v>
      </x:c>
      <x:c r="B125" s="46" t="str">
        <x:v>Mineral yün</x:v>
      </x:c>
      <x:c r="C125" s="46" t="str">
        <x:v>Cam yünü – genel</x:v>
      </x:c>
      <x:c r="D125" s="46" t="str">
        <x:v>GENERIC</x:v>
      </x:c>
      <x:c r="E125" s="46" t="str">
        <x:v>Glass wool 12 kg/m³</x:v>
      </x:c>
      <x:c r="F125" s="70" t="str">
        <x:v>JCA_STARTING_ESTIMATE</x:v>
      </x:c>
      <x:c r="G125" s="54" t="n">
        <x:v>25</x:v>
      </x:c>
      <x:c r="H125" s="54" t="n">
        <x:v>12</x:v>
      </x:c>
      <x:c r="I125" s="66" t="n">
        <x:v>3500</x:v>
      </x:c>
      <x:c r="J125" s="76" t="n">
        <x:f>IF(OR(G125="",I125=""),"",I125*G125/1000)</x:f>
        <x:v>87.5</x:v>
      </x:c>
      <x:c r="K125" s="62" t="n">
        <x:v>0.995</x:v>
      </x:c>
      <x:c r="L125" s="62" t="n">
        <x:v>1.02</x:v>
      </x:c>
      <x:c r="M125" s="66" t="n">
        <x:v>220</x:v>
      </x:c>
      <x:c r="N125" s="66" t="n">
        <x:v>440</x:v>
      </x:c>
      <x:c r="O125" s="54" t="n">
        <x:v>10</x:v>
      </x:c>
      <x:c r="P125" s="62" t="n">
        <x:v>0.08</x:v>
      </x:c>
      <x:c r="Q125" s="62" t="n">
        <x:v>0.2</x:v>
      </x:c>
      <x:c r="R125" s="54"/>
      <x:c r="S125" s="62" t="n">
        <x:v>1.204</x:v>
      </x:c>
      <x:c r="T125" s="54" t="n">
        <x:v>343.2</x:v>
      </x:c>
      <x:c r="U125" s="86" t="n">
        <x:f>IF(OR(S125="",T125=""),"",S125*T125)</x:f>
        <x:v>413.21279999999996</x:v>
      </x:c>
      <x:c r="V125" s="46" t="str">
        <x:v>DÜŞÜK</x:v>
      </x:c>
      <x:c r="W125" s="46" t="str"/>
      <x:c r="X125" s="50" t="str">
        <x:v>Akış özdirenci ürün lif çapı/binder/kompresyona çok duyarlıdır; yoğunluktan tek başına güvenilir çıkarılamaz.</x:v>
      </x:c>
    </x:row>
    <x:row r="126">
      <x:c r="A126" s="46" t="str">
        <x:v>MW-GLASS-D12-T50</x:v>
      </x:c>
      <x:c r="B126" s="46" t="str">
        <x:v>Mineral yün</x:v>
      </x:c>
      <x:c r="C126" s="46" t="str">
        <x:v>Cam yünü – genel</x:v>
      </x:c>
      <x:c r="D126" s="46" t="str">
        <x:v>GENERIC</x:v>
      </x:c>
      <x:c r="E126" s="46" t="str">
        <x:v>Glass wool 12 kg/m³</x:v>
      </x:c>
      <x:c r="F126" s="70" t="str">
        <x:v>JCA_STARTING_ESTIMATE</x:v>
      </x:c>
      <x:c r="G126" s="54" t="n">
        <x:v>50</x:v>
      </x:c>
      <x:c r="H126" s="54" t="n">
        <x:v>12</x:v>
      </x:c>
      <x:c r="I126" s="66" t="n">
        <x:v>3500</x:v>
      </x:c>
      <x:c r="J126" s="76" t="n">
        <x:f>IF(OR(G126="",I126=""),"",I126*G126/1000)</x:f>
        <x:v>175</x:v>
      </x:c>
      <x:c r="K126" s="62" t="n">
        <x:v>0.995</x:v>
      </x:c>
      <x:c r="L126" s="62" t="n">
        <x:v>1.02</x:v>
      </x:c>
      <x:c r="M126" s="66" t="n">
        <x:v>220</x:v>
      </x:c>
      <x:c r="N126" s="66" t="n">
        <x:v>440</x:v>
      </x:c>
      <x:c r="O126" s="54" t="n">
        <x:v>10</x:v>
      </x:c>
      <x:c r="P126" s="62" t="n">
        <x:v>0.08</x:v>
      </x:c>
      <x:c r="Q126" s="62" t="n">
        <x:v>0.2</x:v>
      </x:c>
      <x:c r="R126" s="54"/>
      <x:c r="S126" s="62" t="n">
        <x:v>1.204</x:v>
      </x:c>
      <x:c r="T126" s="54" t="n">
        <x:v>343.2</x:v>
      </x:c>
      <x:c r="U126" s="86" t="n">
        <x:f>IF(OR(S126="",T126=""),"",S126*T126)</x:f>
        <x:v>413.21279999999996</x:v>
      </x:c>
      <x:c r="V126" s="46" t="str">
        <x:v>DÜŞÜK</x:v>
      </x:c>
      <x:c r="W126" s="46" t="str"/>
      <x:c r="X126" s="50" t="str">
        <x:v>Akış özdirenci ürün lif çapı/binder/kompresyona çok duyarlıdır; yoğunluktan tek başına güvenilir çıkarılamaz.</x:v>
      </x:c>
    </x:row>
    <x:row r="127">
      <x:c r="A127" s="46" t="str">
        <x:v>MW-GLASS-D12-T75</x:v>
      </x:c>
      <x:c r="B127" s="46" t="str">
        <x:v>Mineral yün</x:v>
      </x:c>
      <x:c r="C127" s="46" t="str">
        <x:v>Cam yünü – genel</x:v>
      </x:c>
      <x:c r="D127" s="46" t="str">
        <x:v>GENERIC</x:v>
      </x:c>
      <x:c r="E127" s="46" t="str">
        <x:v>Glass wool 12 kg/m³</x:v>
      </x:c>
      <x:c r="F127" s="70" t="str">
        <x:v>JCA_STARTING_ESTIMATE</x:v>
      </x:c>
      <x:c r="G127" s="54" t="n">
        <x:v>75</x:v>
      </x:c>
      <x:c r="H127" s="54" t="n">
        <x:v>12</x:v>
      </x:c>
      <x:c r="I127" s="66" t="n">
        <x:v>3500</x:v>
      </x:c>
      <x:c r="J127" s="76" t="n">
        <x:f>IF(OR(G127="",I127=""),"",I127*G127/1000)</x:f>
        <x:v>262.5</x:v>
      </x:c>
      <x:c r="K127" s="62" t="n">
        <x:v>0.995</x:v>
      </x:c>
      <x:c r="L127" s="62" t="n">
        <x:v>1.02</x:v>
      </x:c>
      <x:c r="M127" s="66" t="n">
        <x:v>220</x:v>
      </x:c>
      <x:c r="N127" s="66" t="n">
        <x:v>440</x:v>
      </x:c>
      <x:c r="O127" s="54" t="n">
        <x:v>10</x:v>
      </x:c>
      <x:c r="P127" s="62" t="n">
        <x:v>0.08</x:v>
      </x:c>
      <x:c r="Q127" s="62" t="n">
        <x:v>0.2</x:v>
      </x:c>
      <x:c r="R127" s="54"/>
      <x:c r="S127" s="62" t="n">
        <x:v>1.204</x:v>
      </x:c>
      <x:c r="T127" s="54" t="n">
        <x:v>343.2</x:v>
      </x:c>
      <x:c r="U127" s="86" t="n">
        <x:f>IF(OR(S127="",T127=""),"",S127*T127)</x:f>
        <x:v>413.21279999999996</x:v>
      </x:c>
      <x:c r="V127" s="46" t="str">
        <x:v>DÜŞÜK</x:v>
      </x:c>
      <x:c r="W127" s="46" t="str"/>
      <x:c r="X127" s="50" t="str">
        <x:v>Akış özdirenci ürün lif çapı/binder/kompresyona çok duyarlıdır; yoğunluktan tek başına güvenilir çıkarılamaz.</x:v>
      </x:c>
    </x:row>
    <x:row r="128">
      <x:c r="A128" s="46" t="str">
        <x:v>MW-GLASS-D12-T100</x:v>
      </x:c>
      <x:c r="B128" s="46" t="str">
        <x:v>Mineral yün</x:v>
      </x:c>
      <x:c r="C128" s="46" t="str">
        <x:v>Cam yünü – genel</x:v>
      </x:c>
      <x:c r="D128" s="46" t="str">
        <x:v>GENERIC</x:v>
      </x:c>
      <x:c r="E128" s="46" t="str">
        <x:v>Glass wool 12 kg/m³</x:v>
      </x:c>
      <x:c r="F128" s="70" t="str">
        <x:v>JCA_STARTING_ESTIMATE</x:v>
      </x:c>
      <x:c r="G128" s="54" t="n">
        <x:v>100</x:v>
      </x:c>
      <x:c r="H128" s="54" t="n">
        <x:v>12</x:v>
      </x:c>
      <x:c r="I128" s="66" t="n">
        <x:v>3500</x:v>
      </x:c>
      <x:c r="J128" s="76" t="n">
        <x:f>IF(OR(G128="",I128=""),"",I128*G128/1000)</x:f>
        <x:v>350</x:v>
      </x:c>
      <x:c r="K128" s="62" t="n">
        <x:v>0.995</x:v>
      </x:c>
      <x:c r="L128" s="62" t="n">
        <x:v>1.02</x:v>
      </x:c>
      <x:c r="M128" s="66" t="n">
        <x:v>220</x:v>
      </x:c>
      <x:c r="N128" s="66" t="n">
        <x:v>440</x:v>
      </x:c>
      <x:c r="O128" s="54" t="n">
        <x:v>10</x:v>
      </x:c>
      <x:c r="P128" s="62" t="n">
        <x:v>0.08</x:v>
      </x:c>
      <x:c r="Q128" s="62" t="n">
        <x:v>0.2</x:v>
      </x:c>
      <x:c r="R128" s="54"/>
      <x:c r="S128" s="62" t="n">
        <x:v>1.204</x:v>
      </x:c>
      <x:c r="T128" s="54" t="n">
        <x:v>343.2</x:v>
      </x:c>
      <x:c r="U128" s="86" t="n">
        <x:f>IF(OR(S128="",T128=""),"",S128*T128)</x:f>
        <x:v>413.21279999999996</x:v>
      </x:c>
      <x:c r="V128" s="46" t="str">
        <x:v>DÜŞÜK</x:v>
      </x:c>
      <x:c r="W128" s="46" t="str"/>
      <x:c r="X128" s="50" t="str">
        <x:v>Akış özdirenci ürün lif çapı/binder/kompresyona çok duyarlıdır; yoğunluktan tek başına güvenilir çıkarılamaz.</x:v>
      </x:c>
    </x:row>
    <x:row r="129">
      <x:c r="A129" s="46" t="str">
        <x:v>MW-GLASS-D12-T150</x:v>
      </x:c>
      <x:c r="B129" s="46" t="str">
        <x:v>Mineral yün</x:v>
      </x:c>
      <x:c r="C129" s="46" t="str">
        <x:v>Cam yünü – genel</x:v>
      </x:c>
      <x:c r="D129" s="46" t="str">
        <x:v>GENERIC</x:v>
      </x:c>
      <x:c r="E129" s="46" t="str">
        <x:v>Glass wool 12 kg/m³</x:v>
      </x:c>
      <x:c r="F129" s="70" t="str">
        <x:v>JCA_STARTING_ESTIMATE</x:v>
      </x:c>
      <x:c r="G129" s="54" t="n">
        <x:v>150</x:v>
      </x:c>
      <x:c r="H129" s="54" t="n">
        <x:v>12</x:v>
      </x:c>
      <x:c r="I129" s="66" t="n">
        <x:v>3500</x:v>
      </x:c>
      <x:c r="J129" s="76" t="n">
        <x:f>IF(OR(G129="",I129=""),"",I129*G129/1000)</x:f>
        <x:v>525</x:v>
      </x:c>
      <x:c r="K129" s="62" t="n">
        <x:v>0.995</x:v>
      </x:c>
      <x:c r="L129" s="62" t="n">
        <x:v>1.02</x:v>
      </x:c>
      <x:c r="M129" s="66" t="n">
        <x:v>220</x:v>
      </x:c>
      <x:c r="N129" s="66" t="n">
        <x:v>440</x:v>
      </x:c>
      <x:c r="O129" s="54" t="n">
        <x:v>10</x:v>
      </x:c>
      <x:c r="P129" s="62" t="n">
        <x:v>0.08</x:v>
      </x:c>
      <x:c r="Q129" s="62" t="n">
        <x:v>0.2</x:v>
      </x:c>
      <x:c r="R129" s="54"/>
      <x:c r="S129" s="62" t="n">
        <x:v>1.204</x:v>
      </x:c>
      <x:c r="T129" s="54" t="n">
        <x:v>343.2</x:v>
      </x:c>
      <x:c r="U129" s="86" t="n">
        <x:f>IF(OR(S129="",T129=""),"",S129*T129)</x:f>
        <x:v>413.21279999999996</x:v>
      </x:c>
      <x:c r="V129" s="46" t="str">
        <x:v>DÜŞÜK</x:v>
      </x:c>
      <x:c r="W129" s="46" t="str"/>
      <x:c r="X129" s="50" t="str">
        <x:v>Akış özdirenci ürün lif çapı/binder/kompresyona çok duyarlıdır; yoğunluktan tek başına güvenilir çıkarılamaz.</x:v>
      </x:c>
    </x:row>
    <x:row r="130">
      <x:c r="A130" s="46" t="str">
        <x:v>MW-GLASS-D16-T25</x:v>
      </x:c>
      <x:c r="B130" s="46" t="str">
        <x:v>Mineral yün</x:v>
      </x:c>
      <x:c r="C130" s="46" t="str">
        <x:v>Cam yünü – genel</x:v>
      </x:c>
      <x:c r="D130" s="46" t="str">
        <x:v>GENERIC</x:v>
      </x:c>
      <x:c r="E130" s="46" t="str">
        <x:v>Glass wool 16 kg/m³</x:v>
      </x:c>
      <x:c r="F130" s="70" t="str">
        <x:v>JCA_STARTING_ESTIMATE</x:v>
      </x:c>
      <x:c r="G130" s="54" t="n">
        <x:v>25</x:v>
      </x:c>
      <x:c r="H130" s="54" t="n">
        <x:v>16</x:v>
      </x:c>
      <x:c r="I130" s="66" t="n">
        <x:v>4500</x:v>
      </x:c>
      <x:c r="J130" s="76" t="n">
        <x:f>IF(OR(G130="",I130=""),"",I130*G130/1000)</x:f>
        <x:v>112.5</x:v>
      </x:c>
      <x:c r="K130" s="62" t="n">
        <x:v>0.995</x:v>
      </x:c>
      <x:c r="L130" s="62" t="n">
        <x:v>1.027</x:v>
      </x:c>
      <x:c r="M130" s="66" t="n">
        <x:v>202</x:v>
      </x:c>
      <x:c r="N130" s="66" t="n">
        <x:v>404</x:v>
      </x:c>
      <x:c r="O130" s="54" t="n">
        <x:v>30</x:v>
      </x:c>
      <x:c r="P130" s="62" t="n">
        <x:v>0.08</x:v>
      </x:c>
      <x:c r="Q130" s="62" t="n">
        <x:v>0.2</x:v>
      </x:c>
      <x:c r="R130" s="54"/>
      <x:c r="S130" s="62" t="n">
        <x:v>1.204</x:v>
      </x:c>
      <x:c r="T130" s="54" t="n">
        <x:v>343.2</x:v>
      </x:c>
      <x:c r="U130" s="86" t="n">
        <x:f>IF(OR(S130="",T130=""),"",S130*T130)</x:f>
        <x:v>413.21279999999996</x:v>
      </x:c>
      <x:c r="V130" s="46" t="str">
        <x:v>DÜŞÜK</x:v>
      </x:c>
      <x:c r="W130" s="46" t="str"/>
      <x:c r="X130" s="50" t="str">
        <x:v>Akış özdirenci ürün lif çapı/binder/kompresyona çok duyarlıdır; yoğunluktan tek başına güvenilir çıkarılamaz.</x:v>
      </x:c>
    </x:row>
    <x:row r="131">
      <x:c r="A131" s="46" t="str">
        <x:v>MW-GLASS-D16-T50</x:v>
      </x:c>
      <x:c r="B131" s="46" t="str">
        <x:v>Mineral yün</x:v>
      </x:c>
      <x:c r="C131" s="46" t="str">
        <x:v>Cam yünü – genel</x:v>
      </x:c>
      <x:c r="D131" s="46" t="str">
        <x:v>GENERIC</x:v>
      </x:c>
      <x:c r="E131" s="46" t="str">
        <x:v>Glass wool 16 kg/m³</x:v>
      </x:c>
      <x:c r="F131" s="70" t="str">
        <x:v>JCA_STARTING_ESTIMATE</x:v>
      </x:c>
      <x:c r="G131" s="54" t="n">
        <x:v>50</x:v>
      </x:c>
      <x:c r="H131" s="54" t="n">
        <x:v>16</x:v>
      </x:c>
      <x:c r="I131" s="66" t="n">
        <x:v>4500</x:v>
      </x:c>
      <x:c r="J131" s="76" t="n">
        <x:f>IF(OR(G131="",I131=""),"",I131*G131/1000)</x:f>
        <x:v>225</x:v>
      </x:c>
      <x:c r="K131" s="62" t="n">
        <x:v>0.995</x:v>
      </x:c>
      <x:c r="L131" s="62" t="n">
        <x:v>1.027</x:v>
      </x:c>
      <x:c r="M131" s="66" t="n">
        <x:v>202</x:v>
      </x:c>
      <x:c r="N131" s="66" t="n">
        <x:v>404</x:v>
      </x:c>
      <x:c r="O131" s="54" t="n">
        <x:v>30</x:v>
      </x:c>
      <x:c r="P131" s="62" t="n">
        <x:v>0.08</x:v>
      </x:c>
      <x:c r="Q131" s="62" t="n">
        <x:v>0.2</x:v>
      </x:c>
      <x:c r="R131" s="54"/>
      <x:c r="S131" s="62" t="n">
        <x:v>1.204</x:v>
      </x:c>
      <x:c r="T131" s="54" t="n">
        <x:v>343.2</x:v>
      </x:c>
      <x:c r="U131" s="86" t="n">
        <x:f>IF(OR(S131="",T131=""),"",S131*T131)</x:f>
        <x:v>413.21279999999996</x:v>
      </x:c>
      <x:c r="V131" s="46" t="str">
        <x:v>DÜŞÜK</x:v>
      </x:c>
      <x:c r="W131" s="46" t="str"/>
      <x:c r="X131" s="50" t="str">
        <x:v>Akış özdirenci ürün lif çapı/binder/kompresyona çok duyarlıdır; yoğunluktan tek başına güvenilir çıkarılamaz.</x:v>
      </x:c>
    </x:row>
    <x:row r="132">
      <x:c r="A132" s="46" t="str">
        <x:v>MW-GLASS-D16-T75</x:v>
      </x:c>
      <x:c r="B132" s="46" t="str">
        <x:v>Mineral yün</x:v>
      </x:c>
      <x:c r="C132" s="46" t="str">
        <x:v>Cam yünü – genel</x:v>
      </x:c>
      <x:c r="D132" s="46" t="str">
        <x:v>GENERIC</x:v>
      </x:c>
      <x:c r="E132" s="46" t="str">
        <x:v>Glass wool 16 kg/m³</x:v>
      </x:c>
      <x:c r="F132" s="70" t="str">
        <x:v>JCA_STARTING_ESTIMATE</x:v>
      </x:c>
      <x:c r="G132" s="54" t="n">
        <x:v>75</x:v>
      </x:c>
      <x:c r="H132" s="54" t="n">
        <x:v>16</x:v>
      </x:c>
      <x:c r="I132" s="66" t="n">
        <x:v>4500</x:v>
      </x:c>
      <x:c r="J132" s="76" t="n">
        <x:f>IF(OR(G132="",I132=""),"",I132*G132/1000)</x:f>
        <x:v>337.5</x:v>
      </x:c>
      <x:c r="K132" s="62" t="n">
        <x:v>0.995</x:v>
      </x:c>
      <x:c r="L132" s="62" t="n">
        <x:v>1.027</x:v>
      </x:c>
      <x:c r="M132" s="66" t="n">
        <x:v>202</x:v>
      </x:c>
      <x:c r="N132" s="66" t="n">
        <x:v>404</x:v>
      </x:c>
      <x:c r="O132" s="54" t="n">
        <x:v>30</x:v>
      </x:c>
      <x:c r="P132" s="62" t="n">
        <x:v>0.08</x:v>
      </x:c>
      <x:c r="Q132" s="62" t="n">
        <x:v>0.2</x:v>
      </x:c>
      <x:c r="R132" s="54"/>
      <x:c r="S132" s="62" t="n">
        <x:v>1.204</x:v>
      </x:c>
      <x:c r="T132" s="54" t="n">
        <x:v>343.2</x:v>
      </x:c>
      <x:c r="U132" s="86" t="n">
        <x:f>IF(OR(S132="",T132=""),"",S132*T132)</x:f>
        <x:v>413.21279999999996</x:v>
      </x:c>
      <x:c r="V132" s="46" t="str">
        <x:v>DÜŞÜK</x:v>
      </x:c>
      <x:c r="W132" s="46" t="str"/>
      <x:c r="X132" s="50" t="str">
        <x:v>Akış özdirenci ürün lif çapı/binder/kompresyona çok duyarlıdır; yoğunluktan tek başına güvenilir çıkarılamaz.</x:v>
      </x:c>
    </x:row>
    <x:row r="133">
      <x:c r="A133" s="46" t="str">
        <x:v>MW-GLASS-D16-T100</x:v>
      </x:c>
      <x:c r="B133" s="46" t="str">
        <x:v>Mineral yün</x:v>
      </x:c>
      <x:c r="C133" s="46" t="str">
        <x:v>Cam yünü – genel</x:v>
      </x:c>
      <x:c r="D133" s="46" t="str">
        <x:v>GENERIC</x:v>
      </x:c>
      <x:c r="E133" s="46" t="str">
        <x:v>Glass wool 16 kg/m³</x:v>
      </x:c>
      <x:c r="F133" s="70" t="str">
        <x:v>JCA_STARTING_ESTIMATE</x:v>
      </x:c>
      <x:c r="G133" s="54" t="n">
        <x:v>100</x:v>
      </x:c>
      <x:c r="H133" s="54" t="n">
        <x:v>16</x:v>
      </x:c>
      <x:c r="I133" s="66" t="n">
        <x:v>4500</x:v>
      </x:c>
      <x:c r="J133" s="76" t="n">
        <x:f>IF(OR(G133="",I133=""),"",I133*G133/1000)</x:f>
        <x:v>450</x:v>
      </x:c>
      <x:c r="K133" s="62" t="n">
        <x:v>0.995</x:v>
      </x:c>
      <x:c r="L133" s="62" t="n">
        <x:v>1.027</x:v>
      </x:c>
      <x:c r="M133" s="66" t="n">
        <x:v>202</x:v>
      </x:c>
      <x:c r="N133" s="66" t="n">
        <x:v>404</x:v>
      </x:c>
      <x:c r="O133" s="54" t="n">
        <x:v>30</x:v>
      </x:c>
      <x:c r="P133" s="62" t="n">
        <x:v>0.08</x:v>
      </x:c>
      <x:c r="Q133" s="62" t="n">
        <x:v>0.2</x:v>
      </x:c>
      <x:c r="R133" s="54"/>
      <x:c r="S133" s="62" t="n">
        <x:v>1.204</x:v>
      </x:c>
      <x:c r="T133" s="54" t="n">
        <x:v>343.2</x:v>
      </x:c>
      <x:c r="U133" s="86" t="n">
        <x:f>IF(OR(S133="",T133=""),"",S133*T133)</x:f>
        <x:v>413.21279999999996</x:v>
      </x:c>
      <x:c r="V133" s="46" t="str">
        <x:v>DÜŞÜK</x:v>
      </x:c>
      <x:c r="W133" s="46" t="str"/>
      <x:c r="X133" s="50" t="str">
        <x:v>Akış özdirenci ürün lif çapı/binder/kompresyona çok duyarlıdır; yoğunluktan tek başına güvenilir çıkarılamaz.</x:v>
      </x:c>
    </x:row>
    <x:row r="134">
      <x:c r="A134" s="46" t="str">
        <x:v>MW-GLASS-D16-T150</x:v>
      </x:c>
      <x:c r="B134" s="46" t="str">
        <x:v>Mineral yün</x:v>
      </x:c>
      <x:c r="C134" s="46" t="str">
        <x:v>Cam yünü – genel</x:v>
      </x:c>
      <x:c r="D134" s="46" t="str">
        <x:v>GENERIC</x:v>
      </x:c>
      <x:c r="E134" s="46" t="str">
        <x:v>Glass wool 16 kg/m³</x:v>
      </x:c>
      <x:c r="F134" s="70" t="str">
        <x:v>JCA_STARTING_ESTIMATE</x:v>
      </x:c>
      <x:c r="G134" s="54" t="n">
        <x:v>150</x:v>
      </x:c>
      <x:c r="H134" s="54" t="n">
        <x:v>16</x:v>
      </x:c>
      <x:c r="I134" s="66" t="n">
        <x:v>4500</x:v>
      </x:c>
      <x:c r="J134" s="76" t="n">
        <x:f>IF(OR(G134="",I134=""),"",I134*G134/1000)</x:f>
        <x:v>675</x:v>
      </x:c>
      <x:c r="K134" s="62" t="n">
        <x:v>0.995</x:v>
      </x:c>
      <x:c r="L134" s="62" t="n">
        <x:v>1.027</x:v>
      </x:c>
      <x:c r="M134" s="66" t="n">
        <x:v>202</x:v>
      </x:c>
      <x:c r="N134" s="66" t="n">
        <x:v>404</x:v>
      </x:c>
      <x:c r="O134" s="54" t="n">
        <x:v>30</x:v>
      </x:c>
      <x:c r="P134" s="62" t="n">
        <x:v>0.08</x:v>
      </x:c>
      <x:c r="Q134" s="62" t="n">
        <x:v>0.2</x:v>
      </x:c>
      <x:c r="R134" s="54"/>
      <x:c r="S134" s="62" t="n">
        <x:v>1.204</x:v>
      </x:c>
      <x:c r="T134" s="54" t="n">
        <x:v>343.2</x:v>
      </x:c>
      <x:c r="U134" s="86" t="n">
        <x:f>IF(OR(S134="",T134=""),"",S134*T134)</x:f>
        <x:v>413.21279999999996</x:v>
      </x:c>
      <x:c r="V134" s="46" t="str">
        <x:v>DÜŞÜK</x:v>
      </x:c>
      <x:c r="W134" s="46" t="str"/>
      <x:c r="X134" s="50" t="str">
        <x:v>Akış özdirenci ürün lif çapı/binder/kompresyona çok duyarlıdır; yoğunluktan tek başına güvenilir çıkarılamaz.</x:v>
      </x:c>
    </x:row>
    <x:row r="135">
      <x:c r="A135" s="46" t="str">
        <x:v>MW-GLASS-D20-T25</x:v>
      </x:c>
      <x:c r="B135" s="46" t="str">
        <x:v>Mineral yün</x:v>
      </x:c>
      <x:c r="C135" s="46" t="str">
        <x:v>Cam yünü – genel</x:v>
      </x:c>
      <x:c r="D135" s="46" t="str">
        <x:v>GENERIC</x:v>
      </x:c>
      <x:c r="E135" s="46" t="str">
        <x:v>Glass wool 20 kg/m³</x:v>
      </x:c>
      <x:c r="F135" s="70" t="str">
        <x:v>JCA_STARTING_ESTIMATE</x:v>
      </x:c>
      <x:c r="G135" s="54" t="n">
        <x:v>25</x:v>
      </x:c>
      <x:c r="H135" s="54" t="n">
        <x:v>20</x:v>
      </x:c>
      <x:c r="I135" s="66" t="n">
        <x:v>6000</x:v>
      </x:c>
      <x:c r="J135" s="76" t="n">
        <x:f>IF(OR(G135="",I135=""),"",I135*G135/1000)</x:f>
        <x:v>150</x:v>
      </x:c>
      <x:c r="K135" s="62" t="n">
        <x:v>0.995</x:v>
      </x:c>
      <x:c r="L135" s="62" t="n">
        <x:v>1.034</x:v>
      </x:c>
      <x:c r="M135" s="66" t="n">
        <x:v>184</x:v>
      </x:c>
      <x:c r="N135" s="66" t="n">
        <x:v>368</x:v>
      </x:c>
      <x:c r="O135" s="54" t="n">
        <x:v>50</x:v>
      </x:c>
      <x:c r="P135" s="62" t="n">
        <x:v>0.08</x:v>
      </x:c>
      <x:c r="Q135" s="62" t="n">
        <x:v>0.2</x:v>
      </x:c>
      <x:c r="R135" s="54"/>
      <x:c r="S135" s="62" t="n">
        <x:v>1.204</x:v>
      </x:c>
      <x:c r="T135" s="54" t="n">
        <x:v>343.2</x:v>
      </x:c>
      <x:c r="U135" s="86" t="n">
        <x:f>IF(OR(S135="",T135=""),"",S135*T135)</x:f>
        <x:v>413.21279999999996</x:v>
      </x:c>
      <x:c r="V135" s="46" t="str">
        <x:v>DÜŞÜK</x:v>
      </x:c>
      <x:c r="W135" s="46" t="str"/>
      <x:c r="X135" s="50" t="str">
        <x:v>Akış özdirenci ürün lif çapı/binder/kompresyona çok duyarlıdır; yoğunluktan tek başına güvenilir çıkarılamaz.</x:v>
      </x:c>
    </x:row>
    <x:row r="136">
      <x:c r="A136" s="46" t="str">
        <x:v>MW-GLASS-D20-T50</x:v>
      </x:c>
      <x:c r="B136" s="46" t="str">
        <x:v>Mineral yün</x:v>
      </x:c>
      <x:c r="C136" s="46" t="str">
        <x:v>Cam yünü – genel</x:v>
      </x:c>
      <x:c r="D136" s="46" t="str">
        <x:v>GENERIC</x:v>
      </x:c>
      <x:c r="E136" s="46" t="str">
        <x:v>Glass wool 20 kg/m³</x:v>
      </x:c>
      <x:c r="F136" s="70" t="str">
        <x:v>JCA_STARTING_ESTIMATE</x:v>
      </x:c>
      <x:c r="G136" s="54" t="n">
        <x:v>50</x:v>
      </x:c>
      <x:c r="H136" s="54" t="n">
        <x:v>20</x:v>
      </x:c>
      <x:c r="I136" s="66" t="n">
        <x:v>6000</x:v>
      </x:c>
      <x:c r="J136" s="76" t="n">
        <x:f>IF(OR(G136="",I136=""),"",I136*G136/1000)</x:f>
        <x:v>300</x:v>
      </x:c>
      <x:c r="K136" s="62" t="n">
        <x:v>0.995</x:v>
      </x:c>
      <x:c r="L136" s="62" t="n">
        <x:v>1.034</x:v>
      </x:c>
      <x:c r="M136" s="66" t="n">
        <x:v>184</x:v>
      </x:c>
      <x:c r="N136" s="66" t="n">
        <x:v>368</x:v>
      </x:c>
      <x:c r="O136" s="54" t="n">
        <x:v>50</x:v>
      </x:c>
      <x:c r="P136" s="62" t="n">
        <x:v>0.08</x:v>
      </x:c>
      <x:c r="Q136" s="62" t="n">
        <x:v>0.2</x:v>
      </x:c>
      <x:c r="R136" s="54"/>
      <x:c r="S136" s="62" t="n">
        <x:v>1.204</x:v>
      </x:c>
      <x:c r="T136" s="54" t="n">
        <x:v>343.2</x:v>
      </x:c>
      <x:c r="U136" s="86" t="n">
        <x:f>IF(OR(S136="",T136=""),"",S136*T136)</x:f>
        <x:v>413.21279999999996</x:v>
      </x:c>
      <x:c r="V136" s="46" t="str">
        <x:v>DÜŞÜK</x:v>
      </x:c>
      <x:c r="W136" s="46" t="str"/>
      <x:c r="X136" s="50" t="str">
        <x:v>Akış özdirenci ürün lif çapı/binder/kompresyona çok duyarlıdır; yoğunluktan tek başına güvenilir çıkarılamaz.</x:v>
      </x:c>
    </x:row>
    <x:row r="137">
      <x:c r="A137" s="46" t="str">
        <x:v>MW-GLASS-D20-T75</x:v>
      </x:c>
      <x:c r="B137" s="46" t="str">
        <x:v>Mineral yün</x:v>
      </x:c>
      <x:c r="C137" s="46" t="str">
        <x:v>Cam yünü – genel</x:v>
      </x:c>
      <x:c r="D137" s="46" t="str">
        <x:v>GENERIC</x:v>
      </x:c>
      <x:c r="E137" s="46" t="str">
        <x:v>Glass wool 20 kg/m³</x:v>
      </x:c>
      <x:c r="F137" s="70" t="str">
        <x:v>JCA_STARTING_ESTIMATE</x:v>
      </x:c>
      <x:c r="G137" s="54" t="n">
        <x:v>75</x:v>
      </x:c>
      <x:c r="H137" s="54" t="n">
        <x:v>20</x:v>
      </x:c>
      <x:c r="I137" s="66" t="n">
        <x:v>6000</x:v>
      </x:c>
      <x:c r="J137" s="76" t="n">
        <x:f>IF(OR(G137="",I137=""),"",I137*G137/1000)</x:f>
        <x:v>450</x:v>
      </x:c>
      <x:c r="K137" s="62" t="n">
        <x:v>0.995</x:v>
      </x:c>
      <x:c r="L137" s="62" t="n">
        <x:v>1.034</x:v>
      </x:c>
      <x:c r="M137" s="66" t="n">
        <x:v>184</x:v>
      </x:c>
      <x:c r="N137" s="66" t="n">
        <x:v>368</x:v>
      </x:c>
      <x:c r="O137" s="54" t="n">
        <x:v>50</x:v>
      </x:c>
      <x:c r="P137" s="62" t="n">
        <x:v>0.08</x:v>
      </x:c>
      <x:c r="Q137" s="62" t="n">
        <x:v>0.2</x:v>
      </x:c>
      <x:c r="R137" s="54"/>
      <x:c r="S137" s="62" t="n">
        <x:v>1.204</x:v>
      </x:c>
      <x:c r="T137" s="54" t="n">
        <x:v>343.2</x:v>
      </x:c>
      <x:c r="U137" s="86" t="n">
        <x:f>IF(OR(S137="",T137=""),"",S137*T137)</x:f>
        <x:v>413.21279999999996</x:v>
      </x:c>
      <x:c r="V137" s="46" t="str">
        <x:v>DÜŞÜK</x:v>
      </x:c>
      <x:c r="W137" s="46" t="str"/>
      <x:c r="X137" s="50" t="str">
        <x:v>Akış özdirenci ürün lif çapı/binder/kompresyona çok duyarlıdır; yoğunluktan tek başına güvenilir çıkarılamaz.</x:v>
      </x:c>
    </x:row>
    <x:row r="138">
      <x:c r="A138" s="46" t="str">
        <x:v>MW-GLASS-D20-T100</x:v>
      </x:c>
      <x:c r="B138" s="46" t="str">
        <x:v>Mineral yün</x:v>
      </x:c>
      <x:c r="C138" s="46" t="str">
        <x:v>Cam yünü – genel</x:v>
      </x:c>
      <x:c r="D138" s="46" t="str">
        <x:v>GENERIC</x:v>
      </x:c>
      <x:c r="E138" s="46" t="str">
        <x:v>Glass wool 20 kg/m³</x:v>
      </x:c>
      <x:c r="F138" s="70" t="str">
        <x:v>JCA_STARTING_ESTIMATE</x:v>
      </x:c>
      <x:c r="G138" s="54" t="n">
        <x:v>100</x:v>
      </x:c>
      <x:c r="H138" s="54" t="n">
        <x:v>20</x:v>
      </x:c>
      <x:c r="I138" s="66" t="n">
        <x:v>6000</x:v>
      </x:c>
      <x:c r="J138" s="76" t="n">
        <x:f>IF(OR(G138="",I138=""),"",I138*G138/1000)</x:f>
        <x:v>600</x:v>
      </x:c>
      <x:c r="K138" s="62" t="n">
        <x:v>0.995</x:v>
      </x:c>
      <x:c r="L138" s="62" t="n">
        <x:v>1.034</x:v>
      </x:c>
      <x:c r="M138" s="66" t="n">
        <x:v>184</x:v>
      </x:c>
      <x:c r="N138" s="66" t="n">
        <x:v>368</x:v>
      </x:c>
      <x:c r="O138" s="54" t="n">
        <x:v>50</x:v>
      </x:c>
      <x:c r="P138" s="62" t="n">
        <x:v>0.08</x:v>
      </x:c>
      <x:c r="Q138" s="62" t="n">
        <x:v>0.2</x:v>
      </x:c>
      <x:c r="R138" s="54"/>
      <x:c r="S138" s="62" t="n">
        <x:v>1.204</x:v>
      </x:c>
      <x:c r="T138" s="54" t="n">
        <x:v>343.2</x:v>
      </x:c>
      <x:c r="U138" s="86" t="n">
        <x:f>IF(OR(S138="",T138=""),"",S138*T138)</x:f>
        <x:v>413.21279999999996</x:v>
      </x:c>
      <x:c r="V138" s="46" t="str">
        <x:v>DÜŞÜK</x:v>
      </x:c>
      <x:c r="W138" s="46" t="str"/>
      <x:c r="X138" s="50" t="str">
        <x:v>Akış özdirenci ürün lif çapı/binder/kompresyona çok duyarlıdır; yoğunluktan tek başına güvenilir çıkarılamaz.</x:v>
      </x:c>
    </x:row>
    <x:row r="139">
      <x:c r="A139" s="46" t="str">
        <x:v>MW-GLASS-D20-T150</x:v>
      </x:c>
      <x:c r="B139" s="46" t="str">
        <x:v>Mineral yün</x:v>
      </x:c>
      <x:c r="C139" s="46" t="str">
        <x:v>Cam yünü – genel</x:v>
      </x:c>
      <x:c r="D139" s="46" t="str">
        <x:v>GENERIC</x:v>
      </x:c>
      <x:c r="E139" s="46" t="str">
        <x:v>Glass wool 20 kg/m³</x:v>
      </x:c>
      <x:c r="F139" s="70" t="str">
        <x:v>JCA_STARTING_ESTIMATE</x:v>
      </x:c>
      <x:c r="G139" s="54" t="n">
        <x:v>150</x:v>
      </x:c>
      <x:c r="H139" s="54" t="n">
        <x:v>20</x:v>
      </x:c>
      <x:c r="I139" s="66" t="n">
        <x:v>6000</x:v>
      </x:c>
      <x:c r="J139" s="76" t="n">
        <x:f>IF(OR(G139="",I139=""),"",I139*G139/1000)</x:f>
        <x:v>900</x:v>
      </x:c>
      <x:c r="K139" s="62" t="n">
        <x:v>0.995</x:v>
      </x:c>
      <x:c r="L139" s="62" t="n">
        <x:v>1.034</x:v>
      </x:c>
      <x:c r="M139" s="66" t="n">
        <x:v>184</x:v>
      </x:c>
      <x:c r="N139" s="66" t="n">
        <x:v>368</x:v>
      </x:c>
      <x:c r="O139" s="54" t="n">
        <x:v>50</x:v>
      </x:c>
      <x:c r="P139" s="62" t="n">
        <x:v>0.08</x:v>
      </x:c>
      <x:c r="Q139" s="62" t="n">
        <x:v>0.2</x:v>
      </x:c>
      <x:c r="R139" s="54"/>
      <x:c r="S139" s="62" t="n">
        <x:v>1.204</x:v>
      </x:c>
      <x:c r="T139" s="54" t="n">
        <x:v>343.2</x:v>
      </x:c>
      <x:c r="U139" s="86" t="n">
        <x:f>IF(OR(S139="",T139=""),"",S139*T139)</x:f>
        <x:v>413.21279999999996</x:v>
      </x:c>
      <x:c r="V139" s="46" t="str">
        <x:v>DÜŞÜK</x:v>
      </x:c>
      <x:c r="W139" s="46" t="str"/>
      <x:c r="X139" s="50" t="str">
        <x:v>Akış özdirenci ürün lif çapı/binder/kompresyona çok duyarlıdır; yoğunluktan tek başına güvenilir çıkarılamaz.</x:v>
      </x:c>
    </x:row>
    <x:row r="140">
      <x:c r="A140" s="46" t="str">
        <x:v>MW-GLASS-D24-T25</x:v>
      </x:c>
      <x:c r="B140" s="46" t="str">
        <x:v>Mineral yün</x:v>
      </x:c>
      <x:c r="C140" s="46" t="str">
        <x:v>Cam yünü – genel</x:v>
      </x:c>
      <x:c r="D140" s="46" t="str">
        <x:v>GENERIC</x:v>
      </x:c>
      <x:c r="E140" s="46" t="str">
        <x:v>Glass wool 24 kg/m³</x:v>
      </x:c>
      <x:c r="F140" s="70" t="str">
        <x:v>JCA_STARTING_ESTIMATE</x:v>
      </x:c>
      <x:c r="G140" s="54" t="n">
        <x:v>25</x:v>
      </x:c>
      <x:c r="H140" s="54" t="n">
        <x:v>24</x:v>
      </x:c>
      <x:c r="I140" s="66" t="n">
        <x:v>7500</x:v>
      </x:c>
      <x:c r="J140" s="76" t="n">
        <x:f>IF(OR(G140="",I140=""),"",I140*G140/1000)</x:f>
        <x:v>187.5</x:v>
      </x:c>
      <x:c r="K140" s="62" t="n">
        <x:v>0.985</x:v>
      </x:c>
      <x:c r="L140" s="62" t="n">
        <x:v>1.041</x:v>
      </x:c>
      <x:c r="M140" s="66" t="n">
        <x:v>166</x:v>
      </x:c>
      <x:c r="N140" s="66" t="n">
        <x:v>332</x:v>
      </x:c>
      <x:c r="O140" s="54" t="n">
        <x:v>70</x:v>
      </x:c>
      <x:c r="P140" s="62" t="n">
        <x:v>0.08</x:v>
      </x:c>
      <x:c r="Q140" s="62" t="n">
        <x:v>0.2</x:v>
      </x:c>
      <x:c r="R140" s="54"/>
      <x:c r="S140" s="62" t="n">
        <x:v>1.204</x:v>
      </x:c>
      <x:c r="T140" s="54" t="n">
        <x:v>343.2</x:v>
      </x:c>
      <x:c r="U140" s="86" t="n">
        <x:f>IF(OR(S140="",T140=""),"",S140*T140)</x:f>
        <x:v>413.21279999999996</x:v>
      </x:c>
      <x:c r="V140" s="46" t="str">
        <x:v>DÜŞÜK</x:v>
      </x:c>
      <x:c r="W140" s="46" t="str"/>
      <x:c r="X140" s="50" t="str">
        <x:v>Akış özdirenci ürün lif çapı/binder/kompresyona çok duyarlıdır; yoğunluktan tek başına güvenilir çıkarılamaz.</x:v>
      </x:c>
    </x:row>
    <x:row r="141">
      <x:c r="A141" s="46" t="str">
        <x:v>MW-GLASS-D24-T50</x:v>
      </x:c>
      <x:c r="B141" s="46" t="str">
        <x:v>Mineral yün</x:v>
      </x:c>
      <x:c r="C141" s="46" t="str">
        <x:v>Cam yünü – genel</x:v>
      </x:c>
      <x:c r="D141" s="46" t="str">
        <x:v>GENERIC</x:v>
      </x:c>
      <x:c r="E141" s="46" t="str">
        <x:v>Glass wool 24 kg/m³</x:v>
      </x:c>
      <x:c r="F141" s="70" t="str">
        <x:v>JCA_STARTING_ESTIMATE</x:v>
      </x:c>
      <x:c r="G141" s="54" t="n">
        <x:v>50</x:v>
      </x:c>
      <x:c r="H141" s="54" t="n">
        <x:v>24</x:v>
      </x:c>
      <x:c r="I141" s="66" t="n">
        <x:v>7500</x:v>
      </x:c>
      <x:c r="J141" s="76" t="n">
        <x:f>IF(OR(G141="",I141=""),"",I141*G141/1000)</x:f>
        <x:v>375</x:v>
      </x:c>
      <x:c r="K141" s="62" t="n">
        <x:v>0.985</x:v>
      </x:c>
      <x:c r="L141" s="62" t="n">
        <x:v>1.041</x:v>
      </x:c>
      <x:c r="M141" s="66" t="n">
        <x:v>166</x:v>
      </x:c>
      <x:c r="N141" s="66" t="n">
        <x:v>332</x:v>
      </x:c>
      <x:c r="O141" s="54" t="n">
        <x:v>70</x:v>
      </x:c>
      <x:c r="P141" s="62" t="n">
        <x:v>0.08</x:v>
      </x:c>
      <x:c r="Q141" s="62" t="n">
        <x:v>0.2</x:v>
      </x:c>
      <x:c r="R141" s="54"/>
      <x:c r="S141" s="62" t="n">
        <x:v>1.204</x:v>
      </x:c>
      <x:c r="T141" s="54" t="n">
        <x:v>343.2</x:v>
      </x:c>
      <x:c r="U141" s="86" t="n">
        <x:f>IF(OR(S141="",T141=""),"",S141*T141)</x:f>
        <x:v>413.21279999999996</x:v>
      </x:c>
      <x:c r="V141" s="46" t="str">
        <x:v>DÜŞÜK</x:v>
      </x:c>
      <x:c r="W141" s="46" t="str"/>
      <x:c r="X141" s="50" t="str">
        <x:v>Akış özdirenci ürün lif çapı/binder/kompresyona çok duyarlıdır; yoğunluktan tek başına güvenilir çıkarılamaz.</x:v>
      </x:c>
    </x:row>
    <x:row r="142">
      <x:c r="A142" s="46" t="str">
        <x:v>MW-GLASS-D24-T75</x:v>
      </x:c>
      <x:c r="B142" s="46" t="str">
        <x:v>Mineral yün</x:v>
      </x:c>
      <x:c r="C142" s="46" t="str">
        <x:v>Cam yünü – genel</x:v>
      </x:c>
      <x:c r="D142" s="46" t="str">
        <x:v>GENERIC</x:v>
      </x:c>
      <x:c r="E142" s="46" t="str">
        <x:v>Glass wool 24 kg/m³</x:v>
      </x:c>
      <x:c r="F142" s="70" t="str">
        <x:v>JCA_STARTING_ESTIMATE</x:v>
      </x:c>
      <x:c r="G142" s="54" t="n">
        <x:v>75</x:v>
      </x:c>
      <x:c r="H142" s="54" t="n">
        <x:v>24</x:v>
      </x:c>
      <x:c r="I142" s="66" t="n">
        <x:v>7500</x:v>
      </x:c>
      <x:c r="J142" s="76" t="n">
        <x:f>IF(OR(G142="",I142=""),"",I142*G142/1000)</x:f>
        <x:v>562.5</x:v>
      </x:c>
      <x:c r="K142" s="62" t="n">
        <x:v>0.985</x:v>
      </x:c>
      <x:c r="L142" s="62" t="n">
        <x:v>1.041</x:v>
      </x:c>
      <x:c r="M142" s="66" t="n">
        <x:v>166</x:v>
      </x:c>
      <x:c r="N142" s="66" t="n">
        <x:v>332</x:v>
      </x:c>
      <x:c r="O142" s="54" t="n">
        <x:v>70</x:v>
      </x:c>
      <x:c r="P142" s="62" t="n">
        <x:v>0.08</x:v>
      </x:c>
      <x:c r="Q142" s="62" t="n">
        <x:v>0.2</x:v>
      </x:c>
      <x:c r="R142" s="54"/>
      <x:c r="S142" s="62" t="n">
        <x:v>1.204</x:v>
      </x:c>
      <x:c r="T142" s="54" t="n">
        <x:v>343.2</x:v>
      </x:c>
      <x:c r="U142" s="86" t="n">
        <x:f>IF(OR(S142="",T142=""),"",S142*T142)</x:f>
        <x:v>413.21279999999996</x:v>
      </x:c>
      <x:c r="V142" s="46" t="str">
        <x:v>DÜŞÜK</x:v>
      </x:c>
      <x:c r="W142" s="46" t="str"/>
      <x:c r="X142" s="50" t="str">
        <x:v>Akış özdirenci ürün lif çapı/binder/kompresyona çok duyarlıdır; yoğunluktan tek başına güvenilir çıkarılamaz.</x:v>
      </x:c>
    </x:row>
    <x:row r="143">
      <x:c r="A143" s="46" t="str">
        <x:v>MW-GLASS-D24-T100</x:v>
      </x:c>
      <x:c r="B143" s="46" t="str">
        <x:v>Mineral yün</x:v>
      </x:c>
      <x:c r="C143" s="46" t="str">
        <x:v>Cam yünü – genel</x:v>
      </x:c>
      <x:c r="D143" s="46" t="str">
        <x:v>GENERIC</x:v>
      </x:c>
      <x:c r="E143" s="46" t="str">
        <x:v>Glass wool 24 kg/m³</x:v>
      </x:c>
      <x:c r="F143" s="70" t="str">
        <x:v>JCA_STARTING_ESTIMATE</x:v>
      </x:c>
      <x:c r="G143" s="54" t="n">
        <x:v>100</x:v>
      </x:c>
      <x:c r="H143" s="54" t="n">
        <x:v>24</x:v>
      </x:c>
      <x:c r="I143" s="66" t="n">
        <x:v>7500</x:v>
      </x:c>
      <x:c r="J143" s="76" t="n">
        <x:f>IF(OR(G143="",I143=""),"",I143*G143/1000)</x:f>
        <x:v>750</x:v>
      </x:c>
      <x:c r="K143" s="62" t="n">
        <x:v>0.985</x:v>
      </x:c>
      <x:c r="L143" s="62" t="n">
        <x:v>1.041</x:v>
      </x:c>
      <x:c r="M143" s="66" t="n">
        <x:v>166</x:v>
      </x:c>
      <x:c r="N143" s="66" t="n">
        <x:v>332</x:v>
      </x:c>
      <x:c r="O143" s="54" t="n">
        <x:v>70</x:v>
      </x:c>
      <x:c r="P143" s="62" t="n">
        <x:v>0.08</x:v>
      </x:c>
      <x:c r="Q143" s="62" t="n">
        <x:v>0.2</x:v>
      </x:c>
      <x:c r="R143" s="54"/>
      <x:c r="S143" s="62" t="n">
        <x:v>1.204</x:v>
      </x:c>
      <x:c r="T143" s="54" t="n">
        <x:v>343.2</x:v>
      </x:c>
      <x:c r="U143" s="86" t="n">
        <x:f>IF(OR(S143="",T143=""),"",S143*T143)</x:f>
        <x:v>413.21279999999996</x:v>
      </x:c>
      <x:c r="V143" s="46" t="str">
        <x:v>DÜŞÜK</x:v>
      </x:c>
      <x:c r="W143" s="46" t="str"/>
      <x:c r="X143" s="50" t="str">
        <x:v>Akış özdirenci ürün lif çapı/binder/kompresyona çok duyarlıdır; yoğunluktan tek başına güvenilir çıkarılamaz.</x:v>
      </x:c>
    </x:row>
    <x:row r="144">
      <x:c r="A144" s="46" t="str">
        <x:v>MW-GLASS-D24-T150</x:v>
      </x:c>
      <x:c r="B144" s="46" t="str">
        <x:v>Mineral yün</x:v>
      </x:c>
      <x:c r="C144" s="46" t="str">
        <x:v>Cam yünü – genel</x:v>
      </x:c>
      <x:c r="D144" s="46" t="str">
        <x:v>GENERIC</x:v>
      </x:c>
      <x:c r="E144" s="46" t="str">
        <x:v>Glass wool 24 kg/m³</x:v>
      </x:c>
      <x:c r="F144" s="70" t="str">
        <x:v>JCA_STARTING_ESTIMATE</x:v>
      </x:c>
      <x:c r="G144" s="54" t="n">
        <x:v>150</x:v>
      </x:c>
      <x:c r="H144" s="54" t="n">
        <x:v>24</x:v>
      </x:c>
      <x:c r="I144" s="66" t="n">
        <x:v>7500</x:v>
      </x:c>
      <x:c r="J144" s="76" t="n">
        <x:f>IF(OR(G144="",I144=""),"",I144*G144/1000)</x:f>
        <x:v>1125</x:v>
      </x:c>
      <x:c r="K144" s="62" t="n">
        <x:v>0.985</x:v>
      </x:c>
      <x:c r="L144" s="62" t="n">
        <x:v>1.041</x:v>
      </x:c>
      <x:c r="M144" s="66" t="n">
        <x:v>166</x:v>
      </x:c>
      <x:c r="N144" s="66" t="n">
        <x:v>332</x:v>
      </x:c>
      <x:c r="O144" s="54" t="n">
        <x:v>70</x:v>
      </x:c>
      <x:c r="P144" s="62" t="n">
        <x:v>0.08</x:v>
      </x:c>
      <x:c r="Q144" s="62" t="n">
        <x:v>0.2</x:v>
      </x:c>
      <x:c r="R144" s="54"/>
      <x:c r="S144" s="62" t="n">
        <x:v>1.204</x:v>
      </x:c>
      <x:c r="T144" s="54" t="n">
        <x:v>343.2</x:v>
      </x:c>
      <x:c r="U144" s="86" t="n">
        <x:f>IF(OR(S144="",T144=""),"",S144*T144)</x:f>
        <x:v>413.21279999999996</x:v>
      </x:c>
      <x:c r="V144" s="46" t="str">
        <x:v>DÜŞÜK</x:v>
      </x:c>
      <x:c r="W144" s="46" t="str"/>
      <x:c r="X144" s="50" t="str">
        <x:v>Akış özdirenci ürün lif çapı/binder/kompresyona çok duyarlıdır; yoğunluktan tek başına güvenilir çıkarılamaz.</x:v>
      </x:c>
    </x:row>
    <x:row r="145">
      <x:c r="A145" s="46" t="str">
        <x:v>MW-GLASS-D32-T25</x:v>
      </x:c>
      <x:c r="B145" s="46" t="str">
        <x:v>Mineral yün</x:v>
      </x:c>
      <x:c r="C145" s="46" t="str">
        <x:v>Cam yünü – genel</x:v>
      </x:c>
      <x:c r="D145" s="46" t="str">
        <x:v>GENERIC</x:v>
      </x:c>
      <x:c r="E145" s="46" t="str">
        <x:v>Glass wool 32 kg/m³</x:v>
      </x:c>
      <x:c r="F145" s="70" t="str">
        <x:v>JCA_STARTING_ESTIMATE</x:v>
      </x:c>
      <x:c r="G145" s="54" t="n">
        <x:v>25</x:v>
      </x:c>
      <x:c r="H145" s="54" t="n">
        <x:v>32</x:v>
      </x:c>
      <x:c r="I145" s="66" t="n">
        <x:v>10000</x:v>
      </x:c>
      <x:c r="J145" s="76" t="n">
        <x:f>IF(OR(G145="",I145=""),"",I145*G145/1000)</x:f>
        <x:v>250</x:v>
      </x:c>
      <x:c r="K145" s="62" t="n">
        <x:v>0.985</x:v>
      </x:c>
      <x:c r="L145" s="62" t="n">
        <x:v>1.048</x:v>
      </x:c>
      <x:c r="M145" s="66" t="n">
        <x:v>148</x:v>
      </x:c>
      <x:c r="N145" s="66" t="n">
        <x:v>296</x:v>
      </x:c>
      <x:c r="O145" s="54" t="n">
        <x:v>90</x:v>
      </x:c>
      <x:c r="P145" s="62" t="n">
        <x:v>0.08</x:v>
      </x:c>
      <x:c r="Q145" s="62" t="n">
        <x:v>0.2</x:v>
      </x:c>
      <x:c r="R145" s="54"/>
      <x:c r="S145" s="62" t="n">
        <x:v>1.204</x:v>
      </x:c>
      <x:c r="T145" s="54" t="n">
        <x:v>343.2</x:v>
      </x:c>
      <x:c r="U145" s="86" t="n">
        <x:f>IF(OR(S145="",T145=""),"",S145*T145)</x:f>
        <x:v>413.21279999999996</x:v>
      </x:c>
      <x:c r="V145" s="46" t="str">
        <x:v>DÜŞÜK</x:v>
      </x:c>
      <x:c r="W145" s="46" t="str"/>
      <x:c r="X145" s="50" t="str">
        <x:v>Akış özdirenci ürün lif çapı/binder/kompresyona çok duyarlıdır; yoğunluktan tek başına güvenilir çıkarılamaz.</x:v>
      </x:c>
    </x:row>
    <x:row r="146">
      <x:c r="A146" s="46" t="str">
        <x:v>MW-GLASS-D32-T50</x:v>
      </x:c>
      <x:c r="B146" s="46" t="str">
        <x:v>Mineral yün</x:v>
      </x:c>
      <x:c r="C146" s="46" t="str">
        <x:v>Cam yünü – genel</x:v>
      </x:c>
      <x:c r="D146" s="46" t="str">
        <x:v>GENERIC</x:v>
      </x:c>
      <x:c r="E146" s="46" t="str">
        <x:v>Glass wool 32 kg/m³</x:v>
      </x:c>
      <x:c r="F146" s="70" t="str">
        <x:v>JCA_STARTING_ESTIMATE</x:v>
      </x:c>
      <x:c r="G146" s="54" t="n">
        <x:v>50</x:v>
      </x:c>
      <x:c r="H146" s="54" t="n">
        <x:v>32</x:v>
      </x:c>
      <x:c r="I146" s="66" t="n">
        <x:v>10000</x:v>
      </x:c>
      <x:c r="J146" s="76" t="n">
        <x:f>IF(OR(G146="",I146=""),"",I146*G146/1000)</x:f>
        <x:v>500</x:v>
      </x:c>
      <x:c r="K146" s="62" t="n">
        <x:v>0.985</x:v>
      </x:c>
      <x:c r="L146" s="62" t="n">
        <x:v>1.048</x:v>
      </x:c>
      <x:c r="M146" s="66" t="n">
        <x:v>148</x:v>
      </x:c>
      <x:c r="N146" s="66" t="n">
        <x:v>296</x:v>
      </x:c>
      <x:c r="O146" s="54" t="n">
        <x:v>90</x:v>
      </x:c>
      <x:c r="P146" s="62" t="n">
        <x:v>0.08</x:v>
      </x:c>
      <x:c r="Q146" s="62" t="n">
        <x:v>0.2</x:v>
      </x:c>
      <x:c r="R146" s="54"/>
      <x:c r="S146" s="62" t="n">
        <x:v>1.204</x:v>
      </x:c>
      <x:c r="T146" s="54" t="n">
        <x:v>343.2</x:v>
      </x:c>
      <x:c r="U146" s="86" t="n">
        <x:f>IF(OR(S146="",T146=""),"",S146*T146)</x:f>
        <x:v>413.21279999999996</x:v>
      </x:c>
      <x:c r="V146" s="46" t="str">
        <x:v>DÜŞÜK</x:v>
      </x:c>
      <x:c r="W146" s="46" t="str"/>
      <x:c r="X146" s="50" t="str">
        <x:v>Akış özdirenci ürün lif çapı/binder/kompresyona çok duyarlıdır; yoğunluktan tek başına güvenilir çıkarılamaz.</x:v>
      </x:c>
    </x:row>
    <x:row r="147">
      <x:c r="A147" s="46" t="str">
        <x:v>MW-GLASS-D32-T75</x:v>
      </x:c>
      <x:c r="B147" s="46" t="str">
        <x:v>Mineral yün</x:v>
      </x:c>
      <x:c r="C147" s="46" t="str">
        <x:v>Cam yünü – genel</x:v>
      </x:c>
      <x:c r="D147" s="46" t="str">
        <x:v>GENERIC</x:v>
      </x:c>
      <x:c r="E147" s="46" t="str">
        <x:v>Glass wool 32 kg/m³</x:v>
      </x:c>
      <x:c r="F147" s="70" t="str">
        <x:v>JCA_STARTING_ESTIMATE</x:v>
      </x:c>
      <x:c r="G147" s="54" t="n">
        <x:v>75</x:v>
      </x:c>
      <x:c r="H147" s="54" t="n">
        <x:v>32</x:v>
      </x:c>
      <x:c r="I147" s="66" t="n">
        <x:v>10000</x:v>
      </x:c>
      <x:c r="J147" s="76" t="n">
        <x:f>IF(OR(G147="",I147=""),"",I147*G147/1000)</x:f>
        <x:v>750</x:v>
      </x:c>
      <x:c r="K147" s="62" t="n">
        <x:v>0.985</x:v>
      </x:c>
      <x:c r="L147" s="62" t="n">
        <x:v>1.048</x:v>
      </x:c>
      <x:c r="M147" s="66" t="n">
        <x:v>148</x:v>
      </x:c>
      <x:c r="N147" s="66" t="n">
        <x:v>296</x:v>
      </x:c>
      <x:c r="O147" s="54" t="n">
        <x:v>90</x:v>
      </x:c>
      <x:c r="P147" s="62" t="n">
        <x:v>0.08</x:v>
      </x:c>
      <x:c r="Q147" s="62" t="n">
        <x:v>0.2</x:v>
      </x:c>
      <x:c r="R147" s="54"/>
      <x:c r="S147" s="62" t="n">
        <x:v>1.204</x:v>
      </x:c>
      <x:c r="T147" s="54" t="n">
        <x:v>343.2</x:v>
      </x:c>
      <x:c r="U147" s="86" t="n">
        <x:f>IF(OR(S147="",T147=""),"",S147*T147)</x:f>
        <x:v>413.21279999999996</x:v>
      </x:c>
      <x:c r="V147" s="46" t="str">
        <x:v>DÜŞÜK</x:v>
      </x:c>
      <x:c r="W147" s="46" t="str"/>
      <x:c r="X147" s="50" t="str">
        <x:v>Akış özdirenci ürün lif çapı/binder/kompresyona çok duyarlıdır; yoğunluktan tek başına güvenilir çıkarılamaz.</x:v>
      </x:c>
    </x:row>
    <x:row r="148">
      <x:c r="A148" s="46" t="str">
        <x:v>MW-GLASS-D32-T100</x:v>
      </x:c>
      <x:c r="B148" s="46" t="str">
        <x:v>Mineral yün</x:v>
      </x:c>
      <x:c r="C148" s="46" t="str">
        <x:v>Cam yünü – genel</x:v>
      </x:c>
      <x:c r="D148" s="46" t="str">
        <x:v>GENERIC</x:v>
      </x:c>
      <x:c r="E148" s="46" t="str">
        <x:v>Glass wool 32 kg/m³</x:v>
      </x:c>
      <x:c r="F148" s="70" t="str">
        <x:v>JCA_STARTING_ESTIMATE</x:v>
      </x:c>
      <x:c r="G148" s="54" t="n">
        <x:v>100</x:v>
      </x:c>
      <x:c r="H148" s="54" t="n">
        <x:v>32</x:v>
      </x:c>
      <x:c r="I148" s="66" t="n">
        <x:v>10000</x:v>
      </x:c>
      <x:c r="J148" s="76" t="n">
        <x:f>IF(OR(G148="",I148=""),"",I148*G148/1000)</x:f>
        <x:v>1000</x:v>
      </x:c>
      <x:c r="K148" s="62" t="n">
        <x:v>0.985</x:v>
      </x:c>
      <x:c r="L148" s="62" t="n">
        <x:v>1.048</x:v>
      </x:c>
      <x:c r="M148" s="66" t="n">
        <x:v>148</x:v>
      </x:c>
      <x:c r="N148" s="66" t="n">
        <x:v>296</x:v>
      </x:c>
      <x:c r="O148" s="54" t="n">
        <x:v>90</x:v>
      </x:c>
      <x:c r="P148" s="62" t="n">
        <x:v>0.08</x:v>
      </x:c>
      <x:c r="Q148" s="62" t="n">
        <x:v>0.2</x:v>
      </x:c>
      <x:c r="R148" s="54"/>
      <x:c r="S148" s="62" t="n">
        <x:v>1.204</x:v>
      </x:c>
      <x:c r="T148" s="54" t="n">
        <x:v>343.2</x:v>
      </x:c>
      <x:c r="U148" s="86" t="n">
        <x:f>IF(OR(S148="",T148=""),"",S148*T148)</x:f>
        <x:v>413.21279999999996</x:v>
      </x:c>
      <x:c r="V148" s="46" t="str">
        <x:v>DÜŞÜK</x:v>
      </x:c>
      <x:c r="W148" s="46" t="str"/>
      <x:c r="X148" s="50" t="str">
        <x:v>Akış özdirenci ürün lif çapı/binder/kompresyona çok duyarlıdır; yoğunluktan tek başına güvenilir çıkarılamaz.</x:v>
      </x:c>
    </x:row>
    <x:row r="149">
      <x:c r="A149" s="46" t="str">
        <x:v>MW-GLASS-D32-T150</x:v>
      </x:c>
      <x:c r="B149" s="46" t="str">
        <x:v>Mineral yün</x:v>
      </x:c>
      <x:c r="C149" s="46" t="str">
        <x:v>Cam yünü – genel</x:v>
      </x:c>
      <x:c r="D149" s="46" t="str">
        <x:v>GENERIC</x:v>
      </x:c>
      <x:c r="E149" s="46" t="str">
        <x:v>Glass wool 32 kg/m³</x:v>
      </x:c>
      <x:c r="F149" s="70" t="str">
        <x:v>JCA_STARTING_ESTIMATE</x:v>
      </x:c>
      <x:c r="G149" s="54" t="n">
        <x:v>150</x:v>
      </x:c>
      <x:c r="H149" s="54" t="n">
        <x:v>32</x:v>
      </x:c>
      <x:c r="I149" s="66" t="n">
        <x:v>10000</x:v>
      </x:c>
      <x:c r="J149" s="76" t="n">
        <x:f>IF(OR(G149="",I149=""),"",I149*G149/1000)</x:f>
        <x:v>1500</x:v>
      </x:c>
      <x:c r="K149" s="62" t="n">
        <x:v>0.985</x:v>
      </x:c>
      <x:c r="L149" s="62" t="n">
        <x:v>1.048</x:v>
      </x:c>
      <x:c r="M149" s="66" t="n">
        <x:v>148</x:v>
      </x:c>
      <x:c r="N149" s="66" t="n">
        <x:v>296</x:v>
      </x:c>
      <x:c r="O149" s="54" t="n">
        <x:v>90</x:v>
      </x:c>
      <x:c r="P149" s="62" t="n">
        <x:v>0.08</x:v>
      </x:c>
      <x:c r="Q149" s="62" t="n">
        <x:v>0.2</x:v>
      </x:c>
      <x:c r="R149" s="54"/>
      <x:c r="S149" s="62" t="n">
        <x:v>1.204</x:v>
      </x:c>
      <x:c r="T149" s="54" t="n">
        <x:v>343.2</x:v>
      </x:c>
      <x:c r="U149" s="86" t="n">
        <x:f>IF(OR(S149="",T149=""),"",S149*T149)</x:f>
        <x:v>413.21279999999996</x:v>
      </x:c>
      <x:c r="V149" s="46" t="str">
        <x:v>DÜŞÜK</x:v>
      </x:c>
      <x:c r="W149" s="46" t="str"/>
      <x:c r="X149" s="50" t="str">
        <x:v>Akış özdirenci ürün lif çapı/binder/kompresyona çok duyarlıdır; yoğunluktan tek başına güvenilir çıkarılamaz.</x:v>
      </x:c>
    </x:row>
    <x:row r="150">
      <x:c r="A150" s="46" t="str">
        <x:v>MW-GLASS-D40-T25</x:v>
      </x:c>
      <x:c r="B150" s="46" t="str">
        <x:v>Mineral yün</x:v>
      </x:c>
      <x:c r="C150" s="46" t="str">
        <x:v>Cam yünü – genel</x:v>
      </x:c>
      <x:c r="D150" s="46" t="str">
        <x:v>GENERIC</x:v>
      </x:c>
      <x:c r="E150" s="46" t="str">
        <x:v>Glass wool 40 kg/m³</x:v>
      </x:c>
      <x:c r="F150" s="70" t="str">
        <x:v>JCA_STARTING_ESTIMATE</x:v>
      </x:c>
      <x:c r="G150" s="54" t="n">
        <x:v>25</x:v>
      </x:c>
      <x:c r="H150" s="54" t="n">
        <x:v>40</x:v>
      </x:c>
      <x:c r="I150" s="66" t="n">
        <x:v>14000</x:v>
      </x:c>
      <x:c r="J150" s="76" t="n">
        <x:f>IF(OR(G150="",I150=""),"",I150*G150/1000)</x:f>
        <x:v>350</x:v>
      </x:c>
      <x:c r="K150" s="62" t="n">
        <x:v>0.985</x:v>
      </x:c>
      <x:c r="L150" s="62" t="n">
        <x:v>1.055</x:v>
      </x:c>
      <x:c r="M150" s="66" t="n">
        <x:v>130</x:v>
      </x:c>
      <x:c r="N150" s="66" t="n">
        <x:v>260</x:v>
      </x:c>
      <x:c r="O150" s="54" t="n">
        <x:v>110</x:v>
      </x:c>
      <x:c r="P150" s="62" t="n">
        <x:v>0.08</x:v>
      </x:c>
      <x:c r="Q150" s="62" t="n">
        <x:v>0.2</x:v>
      </x:c>
      <x:c r="R150" s="54"/>
      <x:c r="S150" s="62" t="n">
        <x:v>1.204</x:v>
      </x:c>
      <x:c r="T150" s="54" t="n">
        <x:v>343.2</x:v>
      </x:c>
      <x:c r="U150" s="86" t="n">
        <x:f>IF(OR(S150="",T150=""),"",S150*T150)</x:f>
        <x:v>413.21279999999996</x:v>
      </x:c>
      <x:c r="V150" s="46" t="str">
        <x:v>DÜŞÜK</x:v>
      </x:c>
      <x:c r="W150" s="46" t="str"/>
      <x:c r="X150" s="50" t="str">
        <x:v>Akış özdirenci ürün lif çapı/binder/kompresyona çok duyarlıdır; yoğunluktan tek başına güvenilir çıkarılamaz.</x:v>
      </x:c>
    </x:row>
    <x:row r="151">
      <x:c r="A151" s="46" t="str">
        <x:v>MW-GLASS-D40-T50</x:v>
      </x:c>
      <x:c r="B151" s="46" t="str">
        <x:v>Mineral yün</x:v>
      </x:c>
      <x:c r="C151" s="46" t="str">
        <x:v>Cam yünü – genel</x:v>
      </x:c>
      <x:c r="D151" s="46" t="str">
        <x:v>GENERIC</x:v>
      </x:c>
      <x:c r="E151" s="46" t="str">
        <x:v>Glass wool 40 kg/m³</x:v>
      </x:c>
      <x:c r="F151" s="70" t="str">
        <x:v>JCA_STARTING_ESTIMATE</x:v>
      </x:c>
      <x:c r="G151" s="54" t="n">
        <x:v>50</x:v>
      </x:c>
      <x:c r="H151" s="54" t="n">
        <x:v>40</x:v>
      </x:c>
      <x:c r="I151" s="66" t="n">
        <x:v>14000</x:v>
      </x:c>
      <x:c r="J151" s="76" t="n">
        <x:f>IF(OR(G151="",I151=""),"",I151*G151/1000)</x:f>
        <x:v>700</x:v>
      </x:c>
      <x:c r="K151" s="62" t="n">
        <x:v>0.985</x:v>
      </x:c>
      <x:c r="L151" s="62" t="n">
        <x:v>1.055</x:v>
      </x:c>
      <x:c r="M151" s="66" t="n">
        <x:v>130</x:v>
      </x:c>
      <x:c r="N151" s="66" t="n">
        <x:v>260</x:v>
      </x:c>
      <x:c r="O151" s="54" t="n">
        <x:v>110</x:v>
      </x:c>
      <x:c r="P151" s="62" t="n">
        <x:v>0.08</x:v>
      </x:c>
      <x:c r="Q151" s="62" t="n">
        <x:v>0.2</x:v>
      </x:c>
      <x:c r="R151" s="54"/>
      <x:c r="S151" s="62" t="n">
        <x:v>1.204</x:v>
      </x:c>
      <x:c r="T151" s="54" t="n">
        <x:v>343.2</x:v>
      </x:c>
      <x:c r="U151" s="86" t="n">
        <x:f>IF(OR(S151="",T151=""),"",S151*T151)</x:f>
        <x:v>413.21279999999996</x:v>
      </x:c>
      <x:c r="V151" s="46" t="str">
        <x:v>DÜŞÜK</x:v>
      </x:c>
      <x:c r="W151" s="46" t="str"/>
      <x:c r="X151" s="50" t="str">
        <x:v>Akış özdirenci ürün lif çapı/binder/kompresyona çok duyarlıdır; yoğunluktan tek başına güvenilir çıkarılamaz.</x:v>
      </x:c>
    </x:row>
    <x:row r="152">
      <x:c r="A152" s="46" t="str">
        <x:v>MW-GLASS-D40-T75</x:v>
      </x:c>
      <x:c r="B152" s="46" t="str">
        <x:v>Mineral yün</x:v>
      </x:c>
      <x:c r="C152" s="46" t="str">
        <x:v>Cam yünü – genel</x:v>
      </x:c>
      <x:c r="D152" s="46" t="str">
        <x:v>GENERIC</x:v>
      </x:c>
      <x:c r="E152" s="46" t="str">
        <x:v>Glass wool 40 kg/m³</x:v>
      </x:c>
      <x:c r="F152" s="70" t="str">
        <x:v>JCA_STARTING_ESTIMATE</x:v>
      </x:c>
      <x:c r="G152" s="54" t="n">
        <x:v>75</x:v>
      </x:c>
      <x:c r="H152" s="54" t="n">
        <x:v>40</x:v>
      </x:c>
      <x:c r="I152" s="66" t="n">
        <x:v>14000</x:v>
      </x:c>
      <x:c r="J152" s="76" t="n">
        <x:f>IF(OR(G152="",I152=""),"",I152*G152/1000)</x:f>
        <x:v>1050</x:v>
      </x:c>
      <x:c r="K152" s="62" t="n">
        <x:v>0.985</x:v>
      </x:c>
      <x:c r="L152" s="62" t="n">
        <x:v>1.055</x:v>
      </x:c>
      <x:c r="M152" s="66" t="n">
        <x:v>130</x:v>
      </x:c>
      <x:c r="N152" s="66" t="n">
        <x:v>260</x:v>
      </x:c>
      <x:c r="O152" s="54" t="n">
        <x:v>110</x:v>
      </x:c>
      <x:c r="P152" s="62" t="n">
        <x:v>0.08</x:v>
      </x:c>
      <x:c r="Q152" s="62" t="n">
        <x:v>0.2</x:v>
      </x:c>
      <x:c r="R152" s="54"/>
      <x:c r="S152" s="62" t="n">
        <x:v>1.204</x:v>
      </x:c>
      <x:c r="T152" s="54" t="n">
        <x:v>343.2</x:v>
      </x:c>
      <x:c r="U152" s="86" t="n">
        <x:f>IF(OR(S152="",T152=""),"",S152*T152)</x:f>
        <x:v>413.21279999999996</x:v>
      </x:c>
      <x:c r="V152" s="46" t="str">
        <x:v>DÜŞÜK</x:v>
      </x:c>
      <x:c r="W152" s="46" t="str"/>
      <x:c r="X152" s="50" t="str">
        <x:v>Akış özdirenci ürün lif çapı/binder/kompresyona çok duyarlıdır; yoğunluktan tek başına güvenilir çıkarılamaz.</x:v>
      </x:c>
    </x:row>
    <x:row r="153">
      <x:c r="A153" s="46" t="str">
        <x:v>MW-GLASS-D40-T100</x:v>
      </x:c>
      <x:c r="B153" s="46" t="str">
        <x:v>Mineral yün</x:v>
      </x:c>
      <x:c r="C153" s="46" t="str">
        <x:v>Cam yünü – genel</x:v>
      </x:c>
      <x:c r="D153" s="46" t="str">
        <x:v>GENERIC</x:v>
      </x:c>
      <x:c r="E153" s="46" t="str">
        <x:v>Glass wool 40 kg/m³</x:v>
      </x:c>
      <x:c r="F153" s="70" t="str">
        <x:v>JCA_STARTING_ESTIMATE</x:v>
      </x:c>
      <x:c r="G153" s="54" t="n">
        <x:v>100</x:v>
      </x:c>
      <x:c r="H153" s="54" t="n">
        <x:v>40</x:v>
      </x:c>
      <x:c r="I153" s="66" t="n">
        <x:v>14000</x:v>
      </x:c>
      <x:c r="J153" s="76" t="n">
        <x:f>IF(OR(G153="",I153=""),"",I153*G153/1000)</x:f>
        <x:v>1400</x:v>
      </x:c>
      <x:c r="K153" s="62" t="n">
        <x:v>0.985</x:v>
      </x:c>
      <x:c r="L153" s="62" t="n">
        <x:v>1.055</x:v>
      </x:c>
      <x:c r="M153" s="66" t="n">
        <x:v>130</x:v>
      </x:c>
      <x:c r="N153" s="66" t="n">
        <x:v>260</x:v>
      </x:c>
      <x:c r="O153" s="54" t="n">
        <x:v>110</x:v>
      </x:c>
      <x:c r="P153" s="62" t="n">
        <x:v>0.08</x:v>
      </x:c>
      <x:c r="Q153" s="62" t="n">
        <x:v>0.2</x:v>
      </x:c>
      <x:c r="R153" s="54"/>
      <x:c r="S153" s="62" t="n">
        <x:v>1.204</x:v>
      </x:c>
      <x:c r="T153" s="54" t="n">
        <x:v>343.2</x:v>
      </x:c>
      <x:c r="U153" s="86" t="n">
        <x:f>IF(OR(S153="",T153=""),"",S153*T153)</x:f>
        <x:v>413.21279999999996</x:v>
      </x:c>
      <x:c r="V153" s="46" t="str">
        <x:v>DÜŞÜK</x:v>
      </x:c>
      <x:c r="W153" s="46" t="str"/>
      <x:c r="X153" s="50" t="str">
        <x:v>Akış özdirenci ürün lif çapı/binder/kompresyona çok duyarlıdır; yoğunluktan tek başına güvenilir çıkarılamaz.</x:v>
      </x:c>
    </x:row>
    <x:row r="154">
      <x:c r="A154" s="46" t="str">
        <x:v>MW-GLASS-D40-T150</x:v>
      </x:c>
      <x:c r="B154" s="46" t="str">
        <x:v>Mineral yün</x:v>
      </x:c>
      <x:c r="C154" s="46" t="str">
        <x:v>Cam yünü – genel</x:v>
      </x:c>
      <x:c r="D154" s="46" t="str">
        <x:v>GENERIC</x:v>
      </x:c>
      <x:c r="E154" s="46" t="str">
        <x:v>Glass wool 40 kg/m³</x:v>
      </x:c>
      <x:c r="F154" s="70" t="str">
        <x:v>JCA_STARTING_ESTIMATE</x:v>
      </x:c>
      <x:c r="G154" s="54" t="n">
        <x:v>150</x:v>
      </x:c>
      <x:c r="H154" s="54" t="n">
        <x:v>40</x:v>
      </x:c>
      <x:c r="I154" s="66" t="n">
        <x:v>14000</x:v>
      </x:c>
      <x:c r="J154" s="76" t="n">
        <x:f>IF(OR(G154="",I154=""),"",I154*G154/1000)</x:f>
        <x:v>2100</x:v>
      </x:c>
      <x:c r="K154" s="62" t="n">
        <x:v>0.985</x:v>
      </x:c>
      <x:c r="L154" s="62" t="n">
        <x:v>1.055</x:v>
      </x:c>
      <x:c r="M154" s="66" t="n">
        <x:v>130</x:v>
      </x:c>
      <x:c r="N154" s="66" t="n">
        <x:v>260</x:v>
      </x:c>
      <x:c r="O154" s="54" t="n">
        <x:v>110</x:v>
      </x:c>
      <x:c r="P154" s="62" t="n">
        <x:v>0.08</x:v>
      </x:c>
      <x:c r="Q154" s="62" t="n">
        <x:v>0.2</x:v>
      </x:c>
      <x:c r="R154" s="54"/>
      <x:c r="S154" s="62" t="n">
        <x:v>1.204</x:v>
      </x:c>
      <x:c r="T154" s="54" t="n">
        <x:v>343.2</x:v>
      </x:c>
      <x:c r="U154" s="86" t="n">
        <x:f>IF(OR(S154="",T154=""),"",S154*T154)</x:f>
        <x:v>413.21279999999996</x:v>
      </x:c>
      <x:c r="V154" s="46" t="str">
        <x:v>DÜŞÜK</x:v>
      </x:c>
      <x:c r="W154" s="46" t="str"/>
      <x:c r="X154" s="50" t="str">
        <x:v>Akış özdirenci ürün lif çapı/binder/kompresyona çok duyarlıdır; yoğunluktan tek başına güvenilir çıkarılamaz.</x:v>
      </x:c>
    </x:row>
    <x:row r="155">
      <x:c r="A155" s="46" t="str">
        <x:v>MW-GLASS-D48-T25</x:v>
      </x:c>
      <x:c r="B155" s="46" t="str">
        <x:v>Mineral yün</x:v>
      </x:c>
      <x:c r="C155" s="46" t="str">
        <x:v>Cam yünü – genel</x:v>
      </x:c>
      <x:c r="D155" s="46" t="str">
        <x:v>GENERIC</x:v>
      </x:c>
      <x:c r="E155" s="46" t="str">
        <x:v>Glass wool 48 kg/m³</x:v>
      </x:c>
      <x:c r="F155" s="70" t="str">
        <x:v>JCA_STARTING_ESTIMATE</x:v>
      </x:c>
      <x:c r="G155" s="54" t="n">
        <x:v>25</x:v>
      </x:c>
      <x:c r="H155" s="54" t="n">
        <x:v>48</x:v>
      </x:c>
      <x:c r="I155" s="66" t="n">
        <x:v>18000</x:v>
      </x:c>
      <x:c r="J155" s="76" t="n">
        <x:f>IF(OR(G155="",I155=""),"",I155*G155/1000)</x:f>
        <x:v>450</x:v>
      </x:c>
      <x:c r="K155" s="62" t="n">
        <x:v>0.985</x:v>
      </x:c>
      <x:c r="L155" s="62" t="n">
        <x:v>1.062</x:v>
      </x:c>
      <x:c r="M155" s="66" t="n">
        <x:v>112</x:v>
      </x:c>
      <x:c r="N155" s="66" t="n">
        <x:v>224</x:v>
      </x:c>
      <x:c r="O155" s="54" t="n">
        <x:v>130</x:v>
      </x:c>
      <x:c r="P155" s="62" t="n">
        <x:v>0.08</x:v>
      </x:c>
      <x:c r="Q155" s="62" t="n">
        <x:v>0.2</x:v>
      </x:c>
      <x:c r="R155" s="54"/>
      <x:c r="S155" s="62" t="n">
        <x:v>1.204</x:v>
      </x:c>
      <x:c r="T155" s="54" t="n">
        <x:v>343.2</x:v>
      </x:c>
      <x:c r="U155" s="86" t="n">
        <x:f>IF(OR(S155="",T155=""),"",S155*T155)</x:f>
        <x:v>413.21279999999996</x:v>
      </x:c>
      <x:c r="V155" s="46" t="str">
        <x:v>DÜŞÜK</x:v>
      </x:c>
      <x:c r="W155" s="46" t="str"/>
      <x:c r="X155" s="50" t="str">
        <x:v>Akış özdirenci ürün lif çapı/binder/kompresyona çok duyarlıdır; yoğunluktan tek başına güvenilir çıkarılamaz.</x:v>
      </x:c>
    </x:row>
    <x:row r="156">
      <x:c r="A156" s="46" t="str">
        <x:v>MW-GLASS-D48-T50</x:v>
      </x:c>
      <x:c r="B156" s="46" t="str">
        <x:v>Mineral yün</x:v>
      </x:c>
      <x:c r="C156" s="46" t="str">
        <x:v>Cam yünü – genel</x:v>
      </x:c>
      <x:c r="D156" s="46" t="str">
        <x:v>GENERIC</x:v>
      </x:c>
      <x:c r="E156" s="46" t="str">
        <x:v>Glass wool 48 kg/m³</x:v>
      </x:c>
      <x:c r="F156" s="70" t="str">
        <x:v>JCA_STARTING_ESTIMATE</x:v>
      </x:c>
      <x:c r="G156" s="54" t="n">
        <x:v>50</x:v>
      </x:c>
      <x:c r="H156" s="54" t="n">
        <x:v>48</x:v>
      </x:c>
      <x:c r="I156" s="66" t="n">
        <x:v>18000</x:v>
      </x:c>
      <x:c r="J156" s="76" t="n">
        <x:f>IF(OR(G156="",I156=""),"",I156*G156/1000)</x:f>
        <x:v>900</x:v>
      </x:c>
      <x:c r="K156" s="62" t="n">
        <x:v>0.985</x:v>
      </x:c>
      <x:c r="L156" s="62" t="n">
        <x:v>1.062</x:v>
      </x:c>
      <x:c r="M156" s="66" t="n">
        <x:v>112</x:v>
      </x:c>
      <x:c r="N156" s="66" t="n">
        <x:v>224</x:v>
      </x:c>
      <x:c r="O156" s="54" t="n">
        <x:v>130</x:v>
      </x:c>
      <x:c r="P156" s="62" t="n">
        <x:v>0.08</x:v>
      </x:c>
      <x:c r="Q156" s="62" t="n">
        <x:v>0.2</x:v>
      </x:c>
      <x:c r="R156" s="54"/>
      <x:c r="S156" s="62" t="n">
        <x:v>1.204</x:v>
      </x:c>
      <x:c r="T156" s="54" t="n">
        <x:v>343.2</x:v>
      </x:c>
      <x:c r="U156" s="86" t="n">
        <x:f>IF(OR(S156="",T156=""),"",S156*T156)</x:f>
        <x:v>413.21279999999996</x:v>
      </x:c>
      <x:c r="V156" s="46" t="str">
        <x:v>DÜŞÜK</x:v>
      </x:c>
      <x:c r="W156" s="46" t="str"/>
      <x:c r="X156" s="50" t="str">
        <x:v>Akış özdirenci ürün lif çapı/binder/kompresyona çok duyarlıdır; yoğunluktan tek başına güvenilir çıkarılamaz.</x:v>
      </x:c>
    </x:row>
    <x:row r="157">
      <x:c r="A157" s="46" t="str">
        <x:v>MW-GLASS-D48-T75</x:v>
      </x:c>
      <x:c r="B157" s="46" t="str">
        <x:v>Mineral yün</x:v>
      </x:c>
      <x:c r="C157" s="46" t="str">
        <x:v>Cam yünü – genel</x:v>
      </x:c>
      <x:c r="D157" s="46" t="str">
        <x:v>GENERIC</x:v>
      </x:c>
      <x:c r="E157" s="46" t="str">
        <x:v>Glass wool 48 kg/m³</x:v>
      </x:c>
      <x:c r="F157" s="70" t="str">
        <x:v>JCA_STARTING_ESTIMATE</x:v>
      </x:c>
      <x:c r="G157" s="54" t="n">
        <x:v>75</x:v>
      </x:c>
      <x:c r="H157" s="54" t="n">
        <x:v>48</x:v>
      </x:c>
      <x:c r="I157" s="66" t="n">
        <x:v>18000</x:v>
      </x:c>
      <x:c r="J157" s="76" t="n">
        <x:f>IF(OR(G157="",I157=""),"",I157*G157/1000)</x:f>
        <x:v>1350</x:v>
      </x:c>
      <x:c r="K157" s="62" t="n">
        <x:v>0.985</x:v>
      </x:c>
      <x:c r="L157" s="62" t="n">
        <x:v>1.062</x:v>
      </x:c>
      <x:c r="M157" s="66" t="n">
        <x:v>112</x:v>
      </x:c>
      <x:c r="N157" s="66" t="n">
        <x:v>224</x:v>
      </x:c>
      <x:c r="O157" s="54" t="n">
        <x:v>130</x:v>
      </x:c>
      <x:c r="P157" s="62" t="n">
        <x:v>0.08</x:v>
      </x:c>
      <x:c r="Q157" s="62" t="n">
        <x:v>0.2</x:v>
      </x:c>
      <x:c r="R157" s="54"/>
      <x:c r="S157" s="62" t="n">
        <x:v>1.204</x:v>
      </x:c>
      <x:c r="T157" s="54" t="n">
        <x:v>343.2</x:v>
      </x:c>
      <x:c r="U157" s="86" t="n">
        <x:f>IF(OR(S157="",T157=""),"",S157*T157)</x:f>
        <x:v>413.21279999999996</x:v>
      </x:c>
      <x:c r="V157" s="46" t="str">
        <x:v>DÜŞÜK</x:v>
      </x:c>
      <x:c r="W157" s="46" t="str"/>
      <x:c r="X157" s="50" t="str">
        <x:v>Akış özdirenci ürün lif çapı/binder/kompresyona çok duyarlıdır; yoğunluktan tek başına güvenilir çıkarılamaz.</x:v>
      </x:c>
    </x:row>
    <x:row r="158">
      <x:c r="A158" s="46" t="str">
        <x:v>MW-GLASS-D48-T100</x:v>
      </x:c>
      <x:c r="B158" s="46" t="str">
        <x:v>Mineral yün</x:v>
      </x:c>
      <x:c r="C158" s="46" t="str">
        <x:v>Cam yünü – genel</x:v>
      </x:c>
      <x:c r="D158" s="46" t="str">
        <x:v>GENERIC</x:v>
      </x:c>
      <x:c r="E158" s="46" t="str">
        <x:v>Glass wool 48 kg/m³</x:v>
      </x:c>
      <x:c r="F158" s="70" t="str">
        <x:v>JCA_STARTING_ESTIMATE</x:v>
      </x:c>
      <x:c r="G158" s="54" t="n">
        <x:v>100</x:v>
      </x:c>
      <x:c r="H158" s="54" t="n">
        <x:v>48</x:v>
      </x:c>
      <x:c r="I158" s="66" t="n">
        <x:v>18000</x:v>
      </x:c>
      <x:c r="J158" s="76" t="n">
        <x:f>IF(OR(G158="",I158=""),"",I158*G158/1000)</x:f>
        <x:v>1800</x:v>
      </x:c>
      <x:c r="K158" s="62" t="n">
        <x:v>0.985</x:v>
      </x:c>
      <x:c r="L158" s="62" t="n">
        <x:v>1.062</x:v>
      </x:c>
      <x:c r="M158" s="66" t="n">
        <x:v>112</x:v>
      </x:c>
      <x:c r="N158" s="66" t="n">
        <x:v>224</x:v>
      </x:c>
      <x:c r="O158" s="54" t="n">
        <x:v>130</x:v>
      </x:c>
      <x:c r="P158" s="62" t="n">
        <x:v>0.08</x:v>
      </x:c>
      <x:c r="Q158" s="62" t="n">
        <x:v>0.2</x:v>
      </x:c>
      <x:c r="R158" s="54"/>
      <x:c r="S158" s="62" t="n">
        <x:v>1.204</x:v>
      </x:c>
      <x:c r="T158" s="54" t="n">
        <x:v>343.2</x:v>
      </x:c>
      <x:c r="U158" s="86" t="n">
        <x:f>IF(OR(S158="",T158=""),"",S158*T158)</x:f>
        <x:v>413.21279999999996</x:v>
      </x:c>
      <x:c r="V158" s="46" t="str">
        <x:v>DÜŞÜK</x:v>
      </x:c>
      <x:c r="W158" s="46" t="str"/>
      <x:c r="X158" s="50" t="str">
        <x:v>Akış özdirenci ürün lif çapı/binder/kompresyona çok duyarlıdır; yoğunluktan tek başına güvenilir çıkarılamaz.</x:v>
      </x:c>
    </x:row>
    <x:row r="159">
      <x:c r="A159" s="46" t="str">
        <x:v>MW-GLASS-D48-T150</x:v>
      </x:c>
      <x:c r="B159" s="46" t="str">
        <x:v>Mineral yün</x:v>
      </x:c>
      <x:c r="C159" s="46" t="str">
        <x:v>Cam yünü – genel</x:v>
      </x:c>
      <x:c r="D159" s="46" t="str">
        <x:v>GENERIC</x:v>
      </x:c>
      <x:c r="E159" s="46" t="str">
        <x:v>Glass wool 48 kg/m³</x:v>
      </x:c>
      <x:c r="F159" s="70" t="str">
        <x:v>JCA_STARTING_ESTIMATE</x:v>
      </x:c>
      <x:c r="G159" s="54" t="n">
        <x:v>150</x:v>
      </x:c>
      <x:c r="H159" s="54" t="n">
        <x:v>48</x:v>
      </x:c>
      <x:c r="I159" s="66" t="n">
        <x:v>18000</x:v>
      </x:c>
      <x:c r="J159" s="76" t="n">
        <x:f>IF(OR(G159="",I159=""),"",I159*G159/1000)</x:f>
        <x:v>2700</x:v>
      </x:c>
      <x:c r="K159" s="62" t="n">
        <x:v>0.985</x:v>
      </x:c>
      <x:c r="L159" s="62" t="n">
        <x:v>1.062</x:v>
      </x:c>
      <x:c r="M159" s="66" t="n">
        <x:v>112</x:v>
      </x:c>
      <x:c r="N159" s="66" t="n">
        <x:v>224</x:v>
      </x:c>
      <x:c r="O159" s="54" t="n">
        <x:v>130</x:v>
      </x:c>
      <x:c r="P159" s="62" t="n">
        <x:v>0.08</x:v>
      </x:c>
      <x:c r="Q159" s="62" t="n">
        <x:v>0.2</x:v>
      </x:c>
      <x:c r="R159" s="54"/>
      <x:c r="S159" s="62" t="n">
        <x:v>1.204</x:v>
      </x:c>
      <x:c r="T159" s="54" t="n">
        <x:v>343.2</x:v>
      </x:c>
      <x:c r="U159" s="86" t="n">
        <x:f>IF(OR(S159="",T159=""),"",S159*T159)</x:f>
        <x:v>413.21279999999996</x:v>
      </x:c>
      <x:c r="V159" s="46" t="str">
        <x:v>DÜŞÜK</x:v>
      </x:c>
      <x:c r="W159" s="46" t="str"/>
      <x:c r="X159" s="50" t="str">
        <x:v>Akış özdirenci ürün lif çapı/binder/kompresyona çok duyarlıdır; yoğunluktan tek başına güvenilir çıkarılamaz.</x:v>
      </x:c>
    </x:row>
    <x:row r="160">
      <x:c r="A160" s="46" t="str">
        <x:v>MW-GLASS-D64-T25</x:v>
      </x:c>
      <x:c r="B160" s="46" t="str">
        <x:v>Mineral yün</x:v>
      </x:c>
      <x:c r="C160" s="46" t="str">
        <x:v>Cam yünü – genel</x:v>
      </x:c>
      <x:c r="D160" s="46" t="str">
        <x:v>GENERIC</x:v>
      </x:c>
      <x:c r="E160" s="46" t="str">
        <x:v>Glass wool 64 kg/m³</x:v>
      </x:c>
      <x:c r="F160" s="70" t="str">
        <x:v>JCA_STARTING_ESTIMATE</x:v>
      </x:c>
      <x:c r="G160" s="54" t="n">
        <x:v>25</x:v>
      </x:c>
      <x:c r="H160" s="54" t="n">
        <x:v>64</x:v>
      </x:c>
      <x:c r="I160" s="66" t="n">
        <x:v>25000</x:v>
      </x:c>
      <x:c r="J160" s="76" t="n">
        <x:f>IF(OR(G160="",I160=""),"",I160*G160/1000)</x:f>
        <x:v>625</x:v>
      </x:c>
      <x:c r="K160" s="62" t="n">
        <x:v>0.985</x:v>
      </x:c>
      <x:c r="L160" s="62" t="n">
        <x:v>1.069</x:v>
      </x:c>
      <x:c r="M160" s="66" t="n">
        <x:v>94</x:v>
      </x:c>
      <x:c r="N160" s="66" t="n">
        <x:v>188</x:v>
      </x:c>
      <x:c r="O160" s="54" t="n">
        <x:v>150</x:v>
      </x:c>
      <x:c r="P160" s="62" t="n">
        <x:v>0.08</x:v>
      </x:c>
      <x:c r="Q160" s="62" t="n">
        <x:v>0.2</x:v>
      </x:c>
      <x:c r="R160" s="54"/>
      <x:c r="S160" s="62" t="n">
        <x:v>1.204</x:v>
      </x:c>
      <x:c r="T160" s="54" t="n">
        <x:v>343.2</x:v>
      </x:c>
      <x:c r="U160" s="86" t="n">
        <x:f>IF(OR(S160="",T160=""),"",S160*T160)</x:f>
        <x:v>413.21279999999996</x:v>
      </x:c>
      <x:c r="V160" s="46" t="str">
        <x:v>DÜŞÜK</x:v>
      </x:c>
      <x:c r="W160" s="46" t="str"/>
      <x:c r="X160" s="50" t="str">
        <x:v>Akış özdirenci ürün lif çapı/binder/kompresyona çok duyarlıdır; yoğunluktan tek başına güvenilir çıkarılamaz.</x:v>
      </x:c>
    </x:row>
    <x:row r="161">
      <x:c r="A161" s="46" t="str">
        <x:v>MW-GLASS-D64-T50</x:v>
      </x:c>
      <x:c r="B161" s="46" t="str">
        <x:v>Mineral yün</x:v>
      </x:c>
      <x:c r="C161" s="46" t="str">
        <x:v>Cam yünü – genel</x:v>
      </x:c>
      <x:c r="D161" s="46" t="str">
        <x:v>GENERIC</x:v>
      </x:c>
      <x:c r="E161" s="46" t="str">
        <x:v>Glass wool 64 kg/m³</x:v>
      </x:c>
      <x:c r="F161" s="70" t="str">
        <x:v>JCA_STARTING_ESTIMATE</x:v>
      </x:c>
      <x:c r="G161" s="54" t="n">
        <x:v>50</x:v>
      </x:c>
      <x:c r="H161" s="54" t="n">
        <x:v>64</x:v>
      </x:c>
      <x:c r="I161" s="66" t="n">
        <x:v>25000</x:v>
      </x:c>
      <x:c r="J161" s="76" t="n">
        <x:f>IF(OR(G161="",I161=""),"",I161*G161/1000)</x:f>
        <x:v>1250</x:v>
      </x:c>
      <x:c r="K161" s="62" t="n">
        <x:v>0.985</x:v>
      </x:c>
      <x:c r="L161" s="62" t="n">
        <x:v>1.069</x:v>
      </x:c>
      <x:c r="M161" s="66" t="n">
        <x:v>94</x:v>
      </x:c>
      <x:c r="N161" s="66" t="n">
        <x:v>188</x:v>
      </x:c>
      <x:c r="O161" s="54" t="n">
        <x:v>150</x:v>
      </x:c>
      <x:c r="P161" s="62" t="n">
        <x:v>0.08</x:v>
      </x:c>
      <x:c r="Q161" s="62" t="n">
        <x:v>0.2</x:v>
      </x:c>
      <x:c r="R161" s="54"/>
      <x:c r="S161" s="62" t="n">
        <x:v>1.204</x:v>
      </x:c>
      <x:c r="T161" s="54" t="n">
        <x:v>343.2</x:v>
      </x:c>
      <x:c r="U161" s="86" t="n">
        <x:f>IF(OR(S161="",T161=""),"",S161*T161)</x:f>
        <x:v>413.21279999999996</x:v>
      </x:c>
      <x:c r="V161" s="46" t="str">
        <x:v>DÜŞÜK</x:v>
      </x:c>
      <x:c r="W161" s="46" t="str"/>
      <x:c r="X161" s="50" t="str">
        <x:v>Akış özdirenci ürün lif çapı/binder/kompresyona çok duyarlıdır; yoğunluktan tek başına güvenilir çıkarılamaz.</x:v>
      </x:c>
    </x:row>
    <x:row r="162">
      <x:c r="A162" s="46" t="str">
        <x:v>MW-GLASS-D64-T75</x:v>
      </x:c>
      <x:c r="B162" s="46" t="str">
        <x:v>Mineral yün</x:v>
      </x:c>
      <x:c r="C162" s="46" t="str">
        <x:v>Cam yünü – genel</x:v>
      </x:c>
      <x:c r="D162" s="46" t="str">
        <x:v>GENERIC</x:v>
      </x:c>
      <x:c r="E162" s="46" t="str">
        <x:v>Glass wool 64 kg/m³</x:v>
      </x:c>
      <x:c r="F162" s="70" t="str">
        <x:v>JCA_STARTING_ESTIMATE</x:v>
      </x:c>
      <x:c r="G162" s="54" t="n">
        <x:v>75</x:v>
      </x:c>
      <x:c r="H162" s="54" t="n">
        <x:v>64</x:v>
      </x:c>
      <x:c r="I162" s="66" t="n">
        <x:v>25000</x:v>
      </x:c>
      <x:c r="J162" s="76" t="n">
        <x:f>IF(OR(G162="",I162=""),"",I162*G162/1000)</x:f>
        <x:v>1875</x:v>
      </x:c>
      <x:c r="K162" s="62" t="n">
        <x:v>0.985</x:v>
      </x:c>
      <x:c r="L162" s="62" t="n">
        <x:v>1.069</x:v>
      </x:c>
      <x:c r="M162" s="66" t="n">
        <x:v>94</x:v>
      </x:c>
      <x:c r="N162" s="66" t="n">
        <x:v>188</x:v>
      </x:c>
      <x:c r="O162" s="54" t="n">
        <x:v>150</x:v>
      </x:c>
      <x:c r="P162" s="62" t="n">
        <x:v>0.08</x:v>
      </x:c>
      <x:c r="Q162" s="62" t="n">
        <x:v>0.2</x:v>
      </x:c>
      <x:c r="R162" s="54"/>
      <x:c r="S162" s="62" t="n">
        <x:v>1.204</x:v>
      </x:c>
      <x:c r="T162" s="54" t="n">
        <x:v>343.2</x:v>
      </x:c>
      <x:c r="U162" s="86" t="n">
        <x:f>IF(OR(S162="",T162=""),"",S162*T162)</x:f>
        <x:v>413.21279999999996</x:v>
      </x:c>
      <x:c r="V162" s="46" t="str">
        <x:v>DÜŞÜK</x:v>
      </x:c>
      <x:c r="W162" s="46" t="str"/>
      <x:c r="X162" s="50" t="str">
        <x:v>Akış özdirenci ürün lif çapı/binder/kompresyona çok duyarlıdır; yoğunluktan tek başına güvenilir çıkarılamaz.</x:v>
      </x:c>
    </x:row>
    <x:row r="163">
      <x:c r="A163" s="46" t="str">
        <x:v>MW-GLASS-D64-T100</x:v>
      </x:c>
      <x:c r="B163" s="46" t="str">
        <x:v>Mineral yün</x:v>
      </x:c>
      <x:c r="C163" s="46" t="str">
        <x:v>Cam yünü – genel</x:v>
      </x:c>
      <x:c r="D163" s="46" t="str">
        <x:v>GENERIC</x:v>
      </x:c>
      <x:c r="E163" s="46" t="str">
        <x:v>Glass wool 64 kg/m³</x:v>
      </x:c>
      <x:c r="F163" s="70" t="str">
        <x:v>JCA_STARTING_ESTIMATE</x:v>
      </x:c>
      <x:c r="G163" s="54" t="n">
        <x:v>100</x:v>
      </x:c>
      <x:c r="H163" s="54" t="n">
        <x:v>64</x:v>
      </x:c>
      <x:c r="I163" s="66" t="n">
        <x:v>25000</x:v>
      </x:c>
      <x:c r="J163" s="76" t="n">
        <x:f>IF(OR(G163="",I163=""),"",I163*G163/1000)</x:f>
        <x:v>2500</x:v>
      </x:c>
      <x:c r="K163" s="62" t="n">
        <x:v>0.985</x:v>
      </x:c>
      <x:c r="L163" s="62" t="n">
        <x:v>1.069</x:v>
      </x:c>
      <x:c r="M163" s="66" t="n">
        <x:v>94</x:v>
      </x:c>
      <x:c r="N163" s="66" t="n">
        <x:v>188</x:v>
      </x:c>
      <x:c r="O163" s="54" t="n">
        <x:v>150</x:v>
      </x:c>
      <x:c r="P163" s="62" t="n">
        <x:v>0.08</x:v>
      </x:c>
      <x:c r="Q163" s="62" t="n">
        <x:v>0.2</x:v>
      </x:c>
      <x:c r="R163" s="54"/>
      <x:c r="S163" s="62" t="n">
        <x:v>1.204</x:v>
      </x:c>
      <x:c r="T163" s="54" t="n">
        <x:v>343.2</x:v>
      </x:c>
      <x:c r="U163" s="86" t="n">
        <x:f>IF(OR(S163="",T163=""),"",S163*T163)</x:f>
        <x:v>413.21279999999996</x:v>
      </x:c>
      <x:c r="V163" s="46" t="str">
        <x:v>DÜŞÜK</x:v>
      </x:c>
      <x:c r="W163" s="46" t="str"/>
      <x:c r="X163" s="50" t="str">
        <x:v>Akış özdirenci ürün lif çapı/binder/kompresyona çok duyarlıdır; yoğunluktan tek başına güvenilir çıkarılamaz.</x:v>
      </x:c>
    </x:row>
    <x:row r="164">
      <x:c r="A164" s="46" t="str">
        <x:v>MW-GLASS-D64-T150</x:v>
      </x:c>
      <x:c r="B164" s="46" t="str">
        <x:v>Mineral yün</x:v>
      </x:c>
      <x:c r="C164" s="46" t="str">
        <x:v>Cam yünü – genel</x:v>
      </x:c>
      <x:c r="D164" s="46" t="str">
        <x:v>GENERIC</x:v>
      </x:c>
      <x:c r="E164" s="46" t="str">
        <x:v>Glass wool 64 kg/m³</x:v>
      </x:c>
      <x:c r="F164" s="70" t="str">
        <x:v>JCA_STARTING_ESTIMATE</x:v>
      </x:c>
      <x:c r="G164" s="54" t="n">
        <x:v>150</x:v>
      </x:c>
      <x:c r="H164" s="54" t="n">
        <x:v>64</x:v>
      </x:c>
      <x:c r="I164" s="66" t="n">
        <x:v>25000</x:v>
      </x:c>
      <x:c r="J164" s="76" t="n">
        <x:f>IF(OR(G164="",I164=""),"",I164*G164/1000)</x:f>
        <x:v>3750</x:v>
      </x:c>
      <x:c r="K164" s="62" t="n">
        <x:v>0.985</x:v>
      </x:c>
      <x:c r="L164" s="62" t="n">
        <x:v>1.069</x:v>
      </x:c>
      <x:c r="M164" s="66" t="n">
        <x:v>94</x:v>
      </x:c>
      <x:c r="N164" s="66" t="n">
        <x:v>188</x:v>
      </x:c>
      <x:c r="O164" s="54" t="n">
        <x:v>150</x:v>
      </x:c>
      <x:c r="P164" s="62" t="n">
        <x:v>0.08</x:v>
      </x:c>
      <x:c r="Q164" s="62" t="n">
        <x:v>0.2</x:v>
      </x:c>
      <x:c r="R164" s="54"/>
      <x:c r="S164" s="62" t="n">
        <x:v>1.204</x:v>
      </x:c>
      <x:c r="T164" s="54" t="n">
        <x:v>343.2</x:v>
      </x:c>
      <x:c r="U164" s="86" t="n">
        <x:f>IF(OR(S164="",T164=""),"",S164*T164)</x:f>
        <x:v>413.21279999999996</x:v>
      </x:c>
      <x:c r="V164" s="46" t="str">
        <x:v>DÜŞÜK</x:v>
      </x:c>
      <x:c r="W164" s="46" t="str"/>
      <x:c r="X164" s="50" t="str">
        <x:v>Akış özdirenci ürün lif çapı/binder/kompresyona çok duyarlıdır; yoğunluktan tek başına güvenilir çıkarılamaz.</x:v>
      </x:c>
    </x:row>
    <x:row r="165">
      <x:c r="A165" s="46" t="str">
        <x:v>RW-RWA45-25</x:v>
      </x:c>
      <x:c r="B165" s="46" t="str">
        <x:v>Mineral yün</x:v>
      </x:c>
      <x:c r="C165" s="46" t="str">
        <x:v>Taş yünü levha</x:v>
      </x:c>
      <x:c r="D165" s="46" t="str">
        <x:v>ROCKWOOL</x:v>
      </x:c>
      <x:c r="E165" s="46" t="str">
        <x:v>RWA45</x:v>
      </x:c>
      <x:c r="F165" s="70" t="str">
        <x:v>MANUFACTURER_DENSITY_PLUS_ESTIMATE</x:v>
      </x:c>
      <x:c r="G165" s="54" t="n">
        <x:v>25</x:v>
      </x:c>
      <x:c r="H165" s="54" t="n">
        <x:v>45</x:v>
      </x:c>
      <x:c r="I165" s="66" t="n">
        <x:v>12000</x:v>
      </x:c>
      <x:c r="J165" s="76" t="n">
        <x:f>IF(OR(G165="",I165=""),"",I165*G165/1000)</x:f>
        <x:v>300</x:v>
      </x:c>
      <x:c r="K165" s="62" t="n">
        <x:v>0.97</x:v>
      </x:c>
      <x:c r="L165" s="62" t="n">
        <x:v>1.08</x:v>
      </x:c>
      <x:c r="M165" s="66" t="n">
        <x:v>90</x:v>
      </x:c>
      <x:c r="N165" s="66" t="n">
        <x:v>180</x:v>
      </x:c>
      <x:c r="O165" s="54" t="n">
        <x:v>300</x:v>
      </x:c>
      <x:c r="P165" s="62" t="n">
        <x:v>0.1</x:v>
      </x:c>
      <x:c r="Q165" s="62" t="n">
        <x:v>0.2</x:v>
      </x:c>
      <x:c r="R165" s="54"/>
      <x:c r="S165" s="62" t="n">
        <x:v>1.204</x:v>
      </x:c>
      <x:c r="T165" s="54" t="n">
        <x:v>343.2</x:v>
      </x:c>
      <x:c r="U165" s="86" t="n">
        <x:f>IF(OR(S165="",T165=""),"",S165*T165)</x:f>
        <x:v>413.21279999999996</x:v>
      </x:c>
      <x:c r="V165" s="46" t="str">
        <x:v>YÜKSEK (ρ) / DÜŞÜK (JCA)</x:v>
      </x:c>
      <x:c r="W165" s="46" t="str">
        <x:v>https://www.rockwool.com/uk/products/rwa45/</x:v>
      </x:c>
      <x:c r="X165" s="50" t="str">
        <x:v>Yoğunluk üretici datasheet; σ ve JCA/çerçeve parametreleri tahmindir, ürün bazlı ölçülmelidir.</x:v>
      </x:c>
    </x:row>
    <x:row r="166">
      <x:c r="A166" s="46" t="str">
        <x:v>RW-RWA45-50</x:v>
      </x:c>
      <x:c r="B166" s="46" t="str">
        <x:v>Mineral yün</x:v>
      </x:c>
      <x:c r="C166" s="46" t="str">
        <x:v>Taş yünü levha</x:v>
      </x:c>
      <x:c r="D166" s="46" t="str">
        <x:v>ROCKWOOL</x:v>
      </x:c>
      <x:c r="E166" s="46" t="str">
        <x:v>RWA45</x:v>
      </x:c>
      <x:c r="F166" s="70" t="str">
        <x:v>MANUFACTURER_DENSITY_PLUS_ESTIMATE</x:v>
      </x:c>
      <x:c r="G166" s="54" t="n">
        <x:v>50</x:v>
      </x:c>
      <x:c r="H166" s="54" t="n">
        <x:v>45</x:v>
      </x:c>
      <x:c r="I166" s="66" t="n">
        <x:v>12000</x:v>
      </x:c>
      <x:c r="J166" s="76" t="n">
        <x:f>IF(OR(G166="",I166=""),"",I166*G166/1000)</x:f>
        <x:v>600</x:v>
      </x:c>
      <x:c r="K166" s="62" t="n">
        <x:v>0.97</x:v>
      </x:c>
      <x:c r="L166" s="62" t="n">
        <x:v>1.08</x:v>
      </x:c>
      <x:c r="M166" s="66" t="n">
        <x:v>90</x:v>
      </x:c>
      <x:c r="N166" s="66" t="n">
        <x:v>180</x:v>
      </x:c>
      <x:c r="O166" s="54" t="n">
        <x:v>300</x:v>
      </x:c>
      <x:c r="P166" s="62" t="n">
        <x:v>0.1</x:v>
      </x:c>
      <x:c r="Q166" s="62" t="n">
        <x:v>0.2</x:v>
      </x:c>
      <x:c r="R166" s="54"/>
      <x:c r="S166" s="62" t="n">
        <x:v>1.204</x:v>
      </x:c>
      <x:c r="T166" s="54" t="n">
        <x:v>343.2</x:v>
      </x:c>
      <x:c r="U166" s="86" t="n">
        <x:f>IF(OR(S166="",T166=""),"",S166*T166)</x:f>
        <x:v>413.21279999999996</x:v>
      </x:c>
      <x:c r="V166" s="46" t="str">
        <x:v>YÜKSEK (ρ) / DÜŞÜK (JCA)</x:v>
      </x:c>
      <x:c r="W166" s="46" t="str">
        <x:v>https://www.rockwool.com/uk/products/rwa45/</x:v>
      </x:c>
      <x:c r="X166" s="50" t="str">
        <x:v>Yoğunluk üretici datasheet; σ ve JCA/çerçeve parametreleri tahmindir, ürün bazlı ölçülmelidir.</x:v>
      </x:c>
    </x:row>
    <x:row r="167">
      <x:c r="A167" s="46" t="str">
        <x:v>RW-RWA45-75</x:v>
      </x:c>
      <x:c r="B167" s="46" t="str">
        <x:v>Mineral yün</x:v>
      </x:c>
      <x:c r="C167" s="46" t="str">
        <x:v>Taş yünü levha</x:v>
      </x:c>
      <x:c r="D167" s="46" t="str">
        <x:v>ROCKWOOL</x:v>
      </x:c>
      <x:c r="E167" s="46" t="str">
        <x:v>RWA45</x:v>
      </x:c>
      <x:c r="F167" s="70" t="str">
        <x:v>MANUFACTURER_DENSITY_PLUS_ESTIMATE</x:v>
      </x:c>
      <x:c r="G167" s="54" t="n">
        <x:v>75</x:v>
      </x:c>
      <x:c r="H167" s="54" t="n">
        <x:v>45</x:v>
      </x:c>
      <x:c r="I167" s="66" t="n">
        <x:v>12000</x:v>
      </x:c>
      <x:c r="J167" s="76" t="n">
        <x:f>IF(OR(G167="",I167=""),"",I167*G167/1000)</x:f>
        <x:v>900</x:v>
      </x:c>
      <x:c r="K167" s="62" t="n">
        <x:v>0.97</x:v>
      </x:c>
      <x:c r="L167" s="62" t="n">
        <x:v>1.08</x:v>
      </x:c>
      <x:c r="M167" s="66" t="n">
        <x:v>90</x:v>
      </x:c>
      <x:c r="N167" s="66" t="n">
        <x:v>180</x:v>
      </x:c>
      <x:c r="O167" s="54" t="n">
        <x:v>300</x:v>
      </x:c>
      <x:c r="P167" s="62" t="n">
        <x:v>0.1</x:v>
      </x:c>
      <x:c r="Q167" s="62" t="n">
        <x:v>0.2</x:v>
      </x:c>
      <x:c r="R167" s="54"/>
      <x:c r="S167" s="62" t="n">
        <x:v>1.204</x:v>
      </x:c>
      <x:c r="T167" s="54" t="n">
        <x:v>343.2</x:v>
      </x:c>
      <x:c r="U167" s="86" t="n">
        <x:f>IF(OR(S167="",T167=""),"",S167*T167)</x:f>
        <x:v>413.21279999999996</x:v>
      </x:c>
      <x:c r="V167" s="46" t="str">
        <x:v>YÜKSEK (ρ) / DÜŞÜK (JCA)</x:v>
      </x:c>
      <x:c r="W167" s="46" t="str">
        <x:v>https://www.rockwool.com/uk/products/rwa45/</x:v>
      </x:c>
      <x:c r="X167" s="50" t="str">
        <x:v>Yoğunluk üretici datasheet; σ ve JCA/çerçeve parametreleri tahmindir, ürün bazlı ölçülmelidir.</x:v>
      </x:c>
    </x:row>
    <x:row r="168">
      <x:c r="A168" s="46" t="str">
        <x:v>RW-RWA45-100</x:v>
      </x:c>
      <x:c r="B168" s="46" t="str">
        <x:v>Mineral yün</x:v>
      </x:c>
      <x:c r="C168" s="46" t="str">
        <x:v>Taş yünü levha</x:v>
      </x:c>
      <x:c r="D168" s="46" t="str">
        <x:v>ROCKWOOL</x:v>
      </x:c>
      <x:c r="E168" s="46" t="str">
        <x:v>RWA45</x:v>
      </x:c>
      <x:c r="F168" s="70" t="str">
        <x:v>MANUFACTURER_DENSITY_PLUS_ESTIMATE</x:v>
      </x:c>
      <x:c r="G168" s="54" t="n">
        <x:v>100</x:v>
      </x:c>
      <x:c r="H168" s="54" t="n">
        <x:v>45</x:v>
      </x:c>
      <x:c r="I168" s="66" t="n">
        <x:v>12000</x:v>
      </x:c>
      <x:c r="J168" s="76" t="n">
        <x:f>IF(OR(G168="",I168=""),"",I168*G168/1000)</x:f>
        <x:v>1200</x:v>
      </x:c>
      <x:c r="K168" s="62" t="n">
        <x:v>0.97</x:v>
      </x:c>
      <x:c r="L168" s="62" t="n">
        <x:v>1.08</x:v>
      </x:c>
      <x:c r="M168" s="66" t="n">
        <x:v>90</x:v>
      </x:c>
      <x:c r="N168" s="66" t="n">
        <x:v>180</x:v>
      </x:c>
      <x:c r="O168" s="54" t="n">
        <x:v>300</x:v>
      </x:c>
      <x:c r="P168" s="62" t="n">
        <x:v>0.1</x:v>
      </x:c>
      <x:c r="Q168" s="62" t="n">
        <x:v>0.2</x:v>
      </x:c>
      <x:c r="R168" s="54"/>
      <x:c r="S168" s="62" t="n">
        <x:v>1.204</x:v>
      </x:c>
      <x:c r="T168" s="54" t="n">
        <x:v>343.2</x:v>
      </x:c>
      <x:c r="U168" s="86" t="n">
        <x:f>IF(OR(S168="",T168=""),"",S168*T168)</x:f>
        <x:v>413.21279999999996</x:v>
      </x:c>
      <x:c r="V168" s="46" t="str">
        <x:v>YÜKSEK (ρ) / DÜŞÜK (JCA)</x:v>
      </x:c>
      <x:c r="W168" s="46" t="str">
        <x:v>https://www.rockwool.com/uk/products/rwa45/</x:v>
      </x:c>
      <x:c r="X168" s="50" t="str">
        <x:v>Yoğunluk üretici datasheet; σ ve JCA/çerçeve parametreleri tahmindir, ürün bazlı ölçülmelidir.</x:v>
      </x:c>
    </x:row>
    <x:row r="169">
      <x:c r="A169" s="46" t="str">
        <x:v>RW-RW3-25</x:v>
      </x:c>
      <x:c r="B169" s="46" t="str">
        <x:v>Mineral yün</x:v>
      </x:c>
      <x:c r="C169" s="46" t="str">
        <x:v>Taş yünü levha</x:v>
      </x:c>
      <x:c r="D169" s="46" t="str">
        <x:v>ROCKWOOL</x:v>
      </x:c>
      <x:c r="E169" s="46" t="str">
        <x:v>RW3</x:v>
      </x:c>
      <x:c r="F169" s="70" t="str">
        <x:v>MANUFACTURER_DENSITY_PLUS_ESTIMATE</x:v>
      </x:c>
      <x:c r="G169" s="54" t="n">
        <x:v>25</x:v>
      </x:c>
      <x:c r="H169" s="54" t="n">
        <x:v>60</x:v>
      </x:c>
      <x:c r="I169" s="66" t="n">
        <x:v>18000</x:v>
      </x:c>
      <x:c r="J169" s="76" t="n">
        <x:f>IF(OR(G169="",I169=""),"",I169*G169/1000)</x:f>
        <x:v>450</x:v>
      </x:c>
      <x:c r="K169" s="62" t="n">
        <x:v>0.97</x:v>
      </x:c>
      <x:c r="L169" s="62" t="n">
        <x:v>1.08</x:v>
      </x:c>
      <x:c r="M169" s="66" t="n">
        <x:v>90</x:v>
      </x:c>
      <x:c r="N169" s="66" t="n">
        <x:v>180</x:v>
      </x:c>
      <x:c r="O169" s="54" t="n">
        <x:v>300</x:v>
      </x:c>
      <x:c r="P169" s="62" t="n">
        <x:v>0.1</x:v>
      </x:c>
      <x:c r="Q169" s="62" t="n">
        <x:v>0.2</x:v>
      </x:c>
      <x:c r="R169" s="54"/>
      <x:c r="S169" s="62" t="n">
        <x:v>1.204</x:v>
      </x:c>
      <x:c r="T169" s="54" t="n">
        <x:v>343.2</x:v>
      </x:c>
      <x:c r="U169" s="86" t="n">
        <x:f>IF(OR(S169="",T169=""),"",S169*T169)</x:f>
        <x:v>413.21279999999996</x:v>
      </x:c>
      <x:c r="V169" s="46" t="str">
        <x:v>YÜKSEK (ρ) / DÜŞÜK (JCA)</x:v>
      </x:c>
      <x:c r="W169" s="46" t="str">
        <x:v>https://d-cdn.rockwool.com/syssiteassets/rw-uk/downloads/datasheets/rw-slabs.pdf</x:v>
      </x:c>
      <x:c r="X169" s="50" t="str">
        <x:v>Yoğunluk üretici datasheet; σ ve JCA/çerçeve parametreleri tahmindir, ürün bazlı ölçülmelidir.</x:v>
      </x:c>
    </x:row>
    <x:row r="170">
      <x:c r="A170" s="46" t="str">
        <x:v>RW-RW3-50</x:v>
      </x:c>
      <x:c r="B170" s="46" t="str">
        <x:v>Mineral yün</x:v>
      </x:c>
      <x:c r="C170" s="46" t="str">
        <x:v>Taş yünü levha</x:v>
      </x:c>
      <x:c r="D170" s="46" t="str">
        <x:v>ROCKWOOL</x:v>
      </x:c>
      <x:c r="E170" s="46" t="str">
        <x:v>RW3</x:v>
      </x:c>
      <x:c r="F170" s="70" t="str">
        <x:v>MANUFACTURER_DENSITY_PLUS_ESTIMATE</x:v>
      </x:c>
      <x:c r="G170" s="54" t="n">
        <x:v>50</x:v>
      </x:c>
      <x:c r="H170" s="54" t="n">
        <x:v>60</x:v>
      </x:c>
      <x:c r="I170" s="66" t="n">
        <x:v>18000</x:v>
      </x:c>
      <x:c r="J170" s="76" t="n">
        <x:f>IF(OR(G170="",I170=""),"",I170*G170/1000)</x:f>
        <x:v>900</x:v>
      </x:c>
      <x:c r="K170" s="62" t="n">
        <x:v>0.97</x:v>
      </x:c>
      <x:c r="L170" s="62" t="n">
        <x:v>1.08</x:v>
      </x:c>
      <x:c r="M170" s="66" t="n">
        <x:v>90</x:v>
      </x:c>
      <x:c r="N170" s="66" t="n">
        <x:v>180</x:v>
      </x:c>
      <x:c r="O170" s="54" t="n">
        <x:v>300</x:v>
      </x:c>
      <x:c r="P170" s="62" t="n">
        <x:v>0.1</x:v>
      </x:c>
      <x:c r="Q170" s="62" t="n">
        <x:v>0.2</x:v>
      </x:c>
      <x:c r="R170" s="54"/>
      <x:c r="S170" s="62" t="n">
        <x:v>1.204</x:v>
      </x:c>
      <x:c r="T170" s="54" t="n">
        <x:v>343.2</x:v>
      </x:c>
      <x:c r="U170" s="86" t="n">
        <x:f>IF(OR(S170="",T170=""),"",S170*T170)</x:f>
        <x:v>413.21279999999996</x:v>
      </x:c>
      <x:c r="V170" s="46" t="str">
        <x:v>YÜKSEK (ρ) / DÜŞÜK (JCA)</x:v>
      </x:c>
      <x:c r="W170" s="46" t="str">
        <x:v>https://d-cdn.rockwool.com/syssiteassets/rw-uk/downloads/datasheets/rw-slabs.pdf</x:v>
      </x:c>
      <x:c r="X170" s="50" t="str">
        <x:v>Yoğunluk üretici datasheet; σ ve JCA/çerçeve parametreleri tahmindir, ürün bazlı ölçülmelidir.</x:v>
      </x:c>
    </x:row>
    <x:row r="171">
      <x:c r="A171" s="46" t="str">
        <x:v>RW-RW3-75</x:v>
      </x:c>
      <x:c r="B171" s="46" t="str">
        <x:v>Mineral yün</x:v>
      </x:c>
      <x:c r="C171" s="46" t="str">
        <x:v>Taş yünü levha</x:v>
      </x:c>
      <x:c r="D171" s="46" t="str">
        <x:v>ROCKWOOL</x:v>
      </x:c>
      <x:c r="E171" s="46" t="str">
        <x:v>RW3</x:v>
      </x:c>
      <x:c r="F171" s="70" t="str">
        <x:v>MANUFACTURER_DENSITY_PLUS_ESTIMATE</x:v>
      </x:c>
      <x:c r="G171" s="54" t="n">
        <x:v>75</x:v>
      </x:c>
      <x:c r="H171" s="54" t="n">
        <x:v>60</x:v>
      </x:c>
      <x:c r="I171" s="66" t="n">
        <x:v>18000</x:v>
      </x:c>
      <x:c r="J171" s="76" t="n">
        <x:f>IF(OR(G171="",I171=""),"",I171*G171/1000)</x:f>
        <x:v>1350</x:v>
      </x:c>
      <x:c r="K171" s="62" t="n">
        <x:v>0.97</x:v>
      </x:c>
      <x:c r="L171" s="62" t="n">
        <x:v>1.08</x:v>
      </x:c>
      <x:c r="M171" s="66" t="n">
        <x:v>90</x:v>
      </x:c>
      <x:c r="N171" s="66" t="n">
        <x:v>180</x:v>
      </x:c>
      <x:c r="O171" s="54" t="n">
        <x:v>300</x:v>
      </x:c>
      <x:c r="P171" s="62" t="n">
        <x:v>0.1</x:v>
      </x:c>
      <x:c r="Q171" s="62" t="n">
        <x:v>0.2</x:v>
      </x:c>
      <x:c r="R171" s="54"/>
      <x:c r="S171" s="62" t="n">
        <x:v>1.204</x:v>
      </x:c>
      <x:c r="T171" s="54" t="n">
        <x:v>343.2</x:v>
      </x:c>
      <x:c r="U171" s="86" t="n">
        <x:f>IF(OR(S171="",T171=""),"",S171*T171)</x:f>
        <x:v>413.21279999999996</x:v>
      </x:c>
      <x:c r="V171" s="46" t="str">
        <x:v>YÜKSEK (ρ) / DÜŞÜK (JCA)</x:v>
      </x:c>
      <x:c r="W171" s="46" t="str">
        <x:v>https://d-cdn.rockwool.com/syssiteassets/rw-uk/downloads/datasheets/rw-slabs.pdf</x:v>
      </x:c>
      <x:c r="X171" s="50" t="str">
        <x:v>Yoğunluk üretici datasheet; σ ve JCA/çerçeve parametreleri tahmindir, ürün bazlı ölçülmelidir.</x:v>
      </x:c>
    </x:row>
    <x:row r="172">
      <x:c r="A172" s="46" t="str">
        <x:v>RW-RW3-100</x:v>
      </x:c>
      <x:c r="B172" s="46" t="str">
        <x:v>Mineral yün</x:v>
      </x:c>
      <x:c r="C172" s="46" t="str">
        <x:v>Taş yünü levha</x:v>
      </x:c>
      <x:c r="D172" s="46" t="str">
        <x:v>ROCKWOOL</x:v>
      </x:c>
      <x:c r="E172" s="46" t="str">
        <x:v>RW3</x:v>
      </x:c>
      <x:c r="F172" s="70" t="str">
        <x:v>MANUFACTURER_DENSITY_PLUS_ESTIMATE</x:v>
      </x:c>
      <x:c r="G172" s="54" t="n">
        <x:v>100</x:v>
      </x:c>
      <x:c r="H172" s="54" t="n">
        <x:v>60</x:v>
      </x:c>
      <x:c r="I172" s="66" t="n">
        <x:v>18000</x:v>
      </x:c>
      <x:c r="J172" s="76" t="n">
        <x:f>IF(OR(G172="",I172=""),"",I172*G172/1000)</x:f>
        <x:v>1800</x:v>
      </x:c>
      <x:c r="K172" s="62" t="n">
        <x:v>0.97</x:v>
      </x:c>
      <x:c r="L172" s="62" t="n">
        <x:v>1.08</x:v>
      </x:c>
      <x:c r="M172" s="66" t="n">
        <x:v>90</x:v>
      </x:c>
      <x:c r="N172" s="66" t="n">
        <x:v>180</x:v>
      </x:c>
      <x:c r="O172" s="54" t="n">
        <x:v>300</x:v>
      </x:c>
      <x:c r="P172" s="62" t="n">
        <x:v>0.1</x:v>
      </x:c>
      <x:c r="Q172" s="62" t="n">
        <x:v>0.2</x:v>
      </x:c>
      <x:c r="R172" s="54"/>
      <x:c r="S172" s="62" t="n">
        <x:v>1.204</x:v>
      </x:c>
      <x:c r="T172" s="54" t="n">
        <x:v>343.2</x:v>
      </x:c>
      <x:c r="U172" s="86" t="n">
        <x:f>IF(OR(S172="",T172=""),"",S172*T172)</x:f>
        <x:v>413.21279999999996</x:v>
      </x:c>
      <x:c r="V172" s="46" t="str">
        <x:v>YÜKSEK (ρ) / DÜŞÜK (JCA)</x:v>
      </x:c>
      <x:c r="W172" s="46" t="str">
        <x:v>https://d-cdn.rockwool.com/syssiteassets/rw-uk/downloads/datasheets/rw-slabs.pdf</x:v>
      </x:c>
      <x:c r="X172" s="50" t="str">
        <x:v>Yoğunluk üretici datasheet; σ ve JCA/çerçeve parametreleri tahmindir, ürün bazlı ölçülmelidir.</x:v>
      </x:c>
    </x:row>
    <x:row r="173">
      <x:c r="A173" s="46" t="str">
        <x:v>RW-RW4-25</x:v>
      </x:c>
      <x:c r="B173" s="46" t="str">
        <x:v>Mineral yün</x:v>
      </x:c>
      <x:c r="C173" s="46" t="str">
        <x:v>Taş yünü levha</x:v>
      </x:c>
      <x:c r="D173" s="46" t="str">
        <x:v>ROCKWOOL</x:v>
      </x:c>
      <x:c r="E173" s="46" t="str">
        <x:v>RW4</x:v>
      </x:c>
      <x:c r="F173" s="70" t="str">
        <x:v>MANUFACTURER_DENSITY_PLUS_ESTIMATE</x:v>
      </x:c>
      <x:c r="G173" s="54" t="n">
        <x:v>25</x:v>
      </x:c>
      <x:c r="H173" s="54" t="n">
        <x:v>80</x:v>
      </x:c>
      <x:c r="I173" s="66" t="n">
        <x:v>30000</x:v>
      </x:c>
      <x:c r="J173" s="76" t="n">
        <x:f>IF(OR(G173="",I173=""),"",I173*G173/1000)</x:f>
        <x:v>750</x:v>
      </x:c>
      <x:c r="K173" s="62" t="n">
        <x:v>0.97</x:v>
      </x:c>
      <x:c r="L173" s="62" t="n">
        <x:v>1.08</x:v>
      </x:c>
      <x:c r="M173" s="66" t="n">
        <x:v>90</x:v>
      </x:c>
      <x:c r="N173" s="66" t="n">
        <x:v>180</x:v>
      </x:c>
      <x:c r="O173" s="54" t="n">
        <x:v>300</x:v>
      </x:c>
      <x:c r="P173" s="62" t="n">
        <x:v>0.1</x:v>
      </x:c>
      <x:c r="Q173" s="62" t="n">
        <x:v>0.2</x:v>
      </x:c>
      <x:c r="R173" s="54"/>
      <x:c r="S173" s="62" t="n">
        <x:v>1.204</x:v>
      </x:c>
      <x:c r="T173" s="54" t="n">
        <x:v>343.2</x:v>
      </x:c>
      <x:c r="U173" s="86" t="n">
        <x:f>IF(OR(S173="",T173=""),"",S173*T173)</x:f>
        <x:v>413.21279999999996</x:v>
      </x:c>
      <x:c r="V173" s="46" t="str">
        <x:v>YÜKSEK (ρ) / DÜŞÜK (JCA)</x:v>
      </x:c>
      <x:c r="W173" s="46" t="str">
        <x:v>https://d-cdn.rockwool.com/syssiteassets/rw-uk/downloads/datasheets/rw-slabs.pdf</x:v>
      </x:c>
      <x:c r="X173" s="50" t="str">
        <x:v>Yoğunluk üretici datasheet; σ ve JCA/çerçeve parametreleri tahmindir, ürün bazlı ölçülmelidir.</x:v>
      </x:c>
    </x:row>
    <x:row r="174">
      <x:c r="A174" s="46" t="str">
        <x:v>RW-RW4-50</x:v>
      </x:c>
      <x:c r="B174" s="46" t="str">
        <x:v>Mineral yün</x:v>
      </x:c>
      <x:c r="C174" s="46" t="str">
        <x:v>Taş yünü levha</x:v>
      </x:c>
      <x:c r="D174" s="46" t="str">
        <x:v>ROCKWOOL</x:v>
      </x:c>
      <x:c r="E174" s="46" t="str">
        <x:v>RW4</x:v>
      </x:c>
      <x:c r="F174" s="70" t="str">
        <x:v>MANUFACTURER_DENSITY_PLUS_ESTIMATE</x:v>
      </x:c>
      <x:c r="G174" s="54" t="n">
        <x:v>50</x:v>
      </x:c>
      <x:c r="H174" s="54" t="n">
        <x:v>80</x:v>
      </x:c>
      <x:c r="I174" s="66" t="n">
        <x:v>30000</x:v>
      </x:c>
      <x:c r="J174" s="76" t="n">
        <x:f>IF(OR(G174="",I174=""),"",I174*G174/1000)</x:f>
        <x:v>1500</x:v>
      </x:c>
      <x:c r="K174" s="62" t="n">
        <x:v>0.97</x:v>
      </x:c>
      <x:c r="L174" s="62" t="n">
        <x:v>1.08</x:v>
      </x:c>
      <x:c r="M174" s="66" t="n">
        <x:v>90</x:v>
      </x:c>
      <x:c r="N174" s="66" t="n">
        <x:v>180</x:v>
      </x:c>
      <x:c r="O174" s="54" t="n">
        <x:v>300</x:v>
      </x:c>
      <x:c r="P174" s="62" t="n">
        <x:v>0.1</x:v>
      </x:c>
      <x:c r="Q174" s="62" t="n">
        <x:v>0.2</x:v>
      </x:c>
      <x:c r="R174" s="54"/>
      <x:c r="S174" s="62" t="n">
        <x:v>1.204</x:v>
      </x:c>
      <x:c r="T174" s="54" t="n">
        <x:v>343.2</x:v>
      </x:c>
      <x:c r="U174" s="86" t="n">
        <x:f>IF(OR(S174="",T174=""),"",S174*T174)</x:f>
        <x:v>413.21279999999996</x:v>
      </x:c>
      <x:c r="V174" s="46" t="str">
        <x:v>YÜKSEK (ρ) / DÜŞÜK (JCA)</x:v>
      </x:c>
      <x:c r="W174" s="46" t="str">
        <x:v>https://d-cdn.rockwool.com/syssiteassets/rw-uk/downloads/datasheets/rw-slabs.pdf</x:v>
      </x:c>
      <x:c r="X174" s="50" t="str">
        <x:v>Yoğunluk üretici datasheet; σ ve JCA/çerçeve parametreleri tahmindir, ürün bazlı ölçülmelidir.</x:v>
      </x:c>
    </x:row>
    <x:row r="175">
      <x:c r="A175" s="46" t="str">
        <x:v>RW-RW4-75</x:v>
      </x:c>
      <x:c r="B175" s="46" t="str">
        <x:v>Mineral yün</x:v>
      </x:c>
      <x:c r="C175" s="46" t="str">
        <x:v>Taş yünü levha</x:v>
      </x:c>
      <x:c r="D175" s="46" t="str">
        <x:v>ROCKWOOL</x:v>
      </x:c>
      <x:c r="E175" s="46" t="str">
        <x:v>RW4</x:v>
      </x:c>
      <x:c r="F175" s="70" t="str">
        <x:v>MANUFACTURER_DENSITY_PLUS_ESTIMATE</x:v>
      </x:c>
      <x:c r="G175" s="54" t="n">
        <x:v>75</x:v>
      </x:c>
      <x:c r="H175" s="54" t="n">
        <x:v>80</x:v>
      </x:c>
      <x:c r="I175" s="66" t="n">
        <x:v>30000</x:v>
      </x:c>
      <x:c r="J175" s="76" t="n">
        <x:f>IF(OR(G175="",I175=""),"",I175*G175/1000)</x:f>
        <x:v>2250</x:v>
      </x:c>
      <x:c r="K175" s="62" t="n">
        <x:v>0.97</x:v>
      </x:c>
      <x:c r="L175" s="62" t="n">
        <x:v>1.08</x:v>
      </x:c>
      <x:c r="M175" s="66" t="n">
        <x:v>90</x:v>
      </x:c>
      <x:c r="N175" s="66" t="n">
        <x:v>180</x:v>
      </x:c>
      <x:c r="O175" s="54" t="n">
        <x:v>300</x:v>
      </x:c>
      <x:c r="P175" s="62" t="n">
        <x:v>0.1</x:v>
      </x:c>
      <x:c r="Q175" s="62" t="n">
        <x:v>0.2</x:v>
      </x:c>
      <x:c r="R175" s="54"/>
      <x:c r="S175" s="62" t="n">
        <x:v>1.204</x:v>
      </x:c>
      <x:c r="T175" s="54" t="n">
        <x:v>343.2</x:v>
      </x:c>
      <x:c r="U175" s="86" t="n">
        <x:f>IF(OR(S175="",T175=""),"",S175*T175)</x:f>
        <x:v>413.21279999999996</x:v>
      </x:c>
      <x:c r="V175" s="46" t="str">
        <x:v>YÜKSEK (ρ) / DÜŞÜK (JCA)</x:v>
      </x:c>
      <x:c r="W175" s="46" t="str">
        <x:v>https://d-cdn.rockwool.com/syssiteassets/rw-uk/downloads/datasheets/rw-slabs.pdf</x:v>
      </x:c>
      <x:c r="X175" s="50" t="str">
        <x:v>Yoğunluk üretici datasheet; σ ve JCA/çerçeve parametreleri tahmindir, ürün bazlı ölçülmelidir.</x:v>
      </x:c>
    </x:row>
    <x:row r="176">
      <x:c r="A176" s="46" t="str">
        <x:v>RW-RW4-100</x:v>
      </x:c>
      <x:c r="B176" s="46" t="str">
        <x:v>Mineral yün</x:v>
      </x:c>
      <x:c r="C176" s="46" t="str">
        <x:v>Taş yünü levha</x:v>
      </x:c>
      <x:c r="D176" s="46" t="str">
        <x:v>ROCKWOOL</x:v>
      </x:c>
      <x:c r="E176" s="46" t="str">
        <x:v>RW4</x:v>
      </x:c>
      <x:c r="F176" s="70" t="str">
        <x:v>MANUFACTURER_DENSITY_PLUS_ESTIMATE</x:v>
      </x:c>
      <x:c r="G176" s="54" t="n">
        <x:v>100</x:v>
      </x:c>
      <x:c r="H176" s="54" t="n">
        <x:v>80</x:v>
      </x:c>
      <x:c r="I176" s="66" t="n">
        <x:v>30000</x:v>
      </x:c>
      <x:c r="J176" s="76" t="n">
        <x:f>IF(OR(G176="",I176=""),"",I176*G176/1000)</x:f>
        <x:v>3000</x:v>
      </x:c>
      <x:c r="K176" s="62" t="n">
        <x:v>0.97</x:v>
      </x:c>
      <x:c r="L176" s="62" t="n">
        <x:v>1.08</x:v>
      </x:c>
      <x:c r="M176" s="66" t="n">
        <x:v>90</x:v>
      </x:c>
      <x:c r="N176" s="66" t="n">
        <x:v>180</x:v>
      </x:c>
      <x:c r="O176" s="54" t="n">
        <x:v>300</x:v>
      </x:c>
      <x:c r="P176" s="62" t="n">
        <x:v>0.1</x:v>
      </x:c>
      <x:c r="Q176" s="62" t="n">
        <x:v>0.2</x:v>
      </x:c>
      <x:c r="R176" s="54"/>
      <x:c r="S176" s="62" t="n">
        <x:v>1.204</x:v>
      </x:c>
      <x:c r="T176" s="54" t="n">
        <x:v>343.2</x:v>
      </x:c>
      <x:c r="U176" s="86" t="n">
        <x:f>IF(OR(S176="",T176=""),"",S176*T176)</x:f>
        <x:v>413.21279999999996</x:v>
      </x:c>
      <x:c r="V176" s="46" t="str">
        <x:v>YÜKSEK (ρ) / DÜŞÜK (JCA)</x:v>
      </x:c>
      <x:c r="W176" s="46" t="str">
        <x:v>https://d-cdn.rockwool.com/syssiteassets/rw-uk/downloads/datasheets/rw-slabs.pdf</x:v>
      </x:c>
      <x:c r="X176" s="50" t="str">
        <x:v>Yoğunluk üretici datasheet; σ ve JCA/çerçeve parametreleri tahmindir, ürün bazlı ölçülmelidir.</x:v>
      </x:c>
    </x:row>
    <x:row r="177">
      <x:c r="A177" s="46" t="str">
        <x:v>RW-RW5-25</x:v>
      </x:c>
      <x:c r="B177" s="46" t="str">
        <x:v>Mineral yün</x:v>
      </x:c>
      <x:c r="C177" s="46" t="str">
        <x:v>Taş yünü levha</x:v>
      </x:c>
      <x:c r="D177" s="46" t="str">
        <x:v>ROCKWOOL</x:v>
      </x:c>
      <x:c r="E177" s="46" t="str">
        <x:v>RW5</x:v>
      </x:c>
      <x:c r="F177" s="70" t="str">
        <x:v>MANUFACTURER_DENSITY_PLUS_ESTIMATE</x:v>
      </x:c>
      <x:c r="G177" s="54" t="n">
        <x:v>25</x:v>
      </x:c>
      <x:c r="H177" s="54" t="n">
        <x:v>100</x:v>
      </x:c>
      <x:c r="I177" s="66" t="n">
        <x:v>40000</x:v>
      </x:c>
      <x:c r="J177" s="76" t="n">
        <x:f>IF(OR(G177="",I177=""),"",I177*G177/1000)</x:f>
        <x:v>1000</x:v>
      </x:c>
      <x:c r="K177" s="62" t="n">
        <x:v>0.97</x:v>
      </x:c>
      <x:c r="L177" s="62" t="n">
        <x:v>1.08</x:v>
      </x:c>
      <x:c r="M177" s="66" t="n">
        <x:v>90</x:v>
      </x:c>
      <x:c r="N177" s="66" t="n">
        <x:v>180</x:v>
      </x:c>
      <x:c r="O177" s="54" t="n">
        <x:v>700</x:v>
      </x:c>
      <x:c r="P177" s="62" t="n">
        <x:v>0.1</x:v>
      </x:c>
      <x:c r="Q177" s="62" t="n">
        <x:v>0.2</x:v>
      </x:c>
      <x:c r="R177" s="54"/>
      <x:c r="S177" s="62" t="n">
        <x:v>1.204</x:v>
      </x:c>
      <x:c r="T177" s="54" t="n">
        <x:v>343.2</x:v>
      </x:c>
      <x:c r="U177" s="86" t="n">
        <x:f>IF(OR(S177="",T177=""),"",S177*T177)</x:f>
        <x:v>413.21279999999996</x:v>
      </x:c>
      <x:c r="V177" s="46" t="str">
        <x:v>YÜKSEK (ρ) / DÜŞÜK (JCA)</x:v>
      </x:c>
      <x:c r="W177" s="46" t="str">
        <x:v>https://d-cdn.rockwool.com/syssiteassets/rw-uk/downloads/datasheets/rw-slabs.pdf</x:v>
      </x:c>
      <x:c r="X177" s="50" t="str">
        <x:v>Yoğunluk üretici datasheet; σ ve JCA/çerçeve parametreleri tahmindir, ürün bazlı ölçülmelidir.</x:v>
      </x:c>
    </x:row>
    <x:row r="178">
      <x:c r="A178" s="46" t="str">
        <x:v>RW-RW5-50</x:v>
      </x:c>
      <x:c r="B178" s="46" t="str">
        <x:v>Mineral yün</x:v>
      </x:c>
      <x:c r="C178" s="46" t="str">
        <x:v>Taş yünü levha</x:v>
      </x:c>
      <x:c r="D178" s="46" t="str">
        <x:v>ROCKWOOL</x:v>
      </x:c>
      <x:c r="E178" s="46" t="str">
        <x:v>RW5</x:v>
      </x:c>
      <x:c r="F178" s="70" t="str">
        <x:v>MANUFACTURER_DENSITY_PLUS_ESTIMATE</x:v>
      </x:c>
      <x:c r="G178" s="54" t="n">
        <x:v>50</x:v>
      </x:c>
      <x:c r="H178" s="54" t="n">
        <x:v>100</x:v>
      </x:c>
      <x:c r="I178" s="66" t="n">
        <x:v>40000</x:v>
      </x:c>
      <x:c r="J178" s="76" t="n">
        <x:f>IF(OR(G178="",I178=""),"",I178*G178/1000)</x:f>
        <x:v>2000</x:v>
      </x:c>
      <x:c r="K178" s="62" t="n">
        <x:v>0.97</x:v>
      </x:c>
      <x:c r="L178" s="62" t="n">
        <x:v>1.08</x:v>
      </x:c>
      <x:c r="M178" s="66" t="n">
        <x:v>90</x:v>
      </x:c>
      <x:c r="N178" s="66" t="n">
        <x:v>180</x:v>
      </x:c>
      <x:c r="O178" s="54" t="n">
        <x:v>700</x:v>
      </x:c>
      <x:c r="P178" s="62" t="n">
        <x:v>0.1</x:v>
      </x:c>
      <x:c r="Q178" s="62" t="n">
        <x:v>0.2</x:v>
      </x:c>
      <x:c r="R178" s="54"/>
      <x:c r="S178" s="62" t="n">
        <x:v>1.204</x:v>
      </x:c>
      <x:c r="T178" s="54" t="n">
        <x:v>343.2</x:v>
      </x:c>
      <x:c r="U178" s="86" t="n">
        <x:f>IF(OR(S178="",T178=""),"",S178*T178)</x:f>
        <x:v>413.21279999999996</x:v>
      </x:c>
      <x:c r="V178" s="46" t="str">
        <x:v>YÜKSEK (ρ) / DÜŞÜK (JCA)</x:v>
      </x:c>
      <x:c r="W178" s="46" t="str">
        <x:v>https://d-cdn.rockwool.com/syssiteassets/rw-uk/downloads/datasheets/rw-slabs.pdf</x:v>
      </x:c>
      <x:c r="X178" s="50" t="str">
        <x:v>Yoğunluk üretici datasheet; σ ve JCA/çerçeve parametreleri tahmindir, ürün bazlı ölçülmelidir.</x:v>
      </x:c>
    </x:row>
    <x:row r="179">
      <x:c r="A179" s="46" t="str">
        <x:v>RW-RW5-75</x:v>
      </x:c>
      <x:c r="B179" s="46" t="str">
        <x:v>Mineral yün</x:v>
      </x:c>
      <x:c r="C179" s="46" t="str">
        <x:v>Taş yünü levha</x:v>
      </x:c>
      <x:c r="D179" s="46" t="str">
        <x:v>ROCKWOOL</x:v>
      </x:c>
      <x:c r="E179" s="46" t="str">
        <x:v>RW5</x:v>
      </x:c>
      <x:c r="F179" s="70" t="str">
        <x:v>MANUFACTURER_DENSITY_PLUS_ESTIMATE</x:v>
      </x:c>
      <x:c r="G179" s="54" t="n">
        <x:v>75</x:v>
      </x:c>
      <x:c r="H179" s="54" t="n">
        <x:v>100</x:v>
      </x:c>
      <x:c r="I179" s="66" t="n">
        <x:v>40000</x:v>
      </x:c>
      <x:c r="J179" s="76" t="n">
        <x:f>IF(OR(G179="",I179=""),"",I179*G179/1000)</x:f>
        <x:v>3000</x:v>
      </x:c>
      <x:c r="K179" s="62" t="n">
        <x:v>0.97</x:v>
      </x:c>
      <x:c r="L179" s="62" t="n">
        <x:v>1.08</x:v>
      </x:c>
      <x:c r="M179" s="66" t="n">
        <x:v>90</x:v>
      </x:c>
      <x:c r="N179" s="66" t="n">
        <x:v>180</x:v>
      </x:c>
      <x:c r="O179" s="54" t="n">
        <x:v>700</x:v>
      </x:c>
      <x:c r="P179" s="62" t="n">
        <x:v>0.1</x:v>
      </x:c>
      <x:c r="Q179" s="62" t="n">
        <x:v>0.2</x:v>
      </x:c>
      <x:c r="R179" s="54"/>
      <x:c r="S179" s="62" t="n">
        <x:v>1.204</x:v>
      </x:c>
      <x:c r="T179" s="54" t="n">
        <x:v>343.2</x:v>
      </x:c>
      <x:c r="U179" s="86" t="n">
        <x:f>IF(OR(S179="",T179=""),"",S179*T179)</x:f>
        <x:v>413.21279999999996</x:v>
      </x:c>
      <x:c r="V179" s="46" t="str">
        <x:v>YÜKSEK (ρ) / DÜŞÜK (JCA)</x:v>
      </x:c>
      <x:c r="W179" s="46" t="str">
        <x:v>https://d-cdn.rockwool.com/syssiteassets/rw-uk/downloads/datasheets/rw-slabs.pdf</x:v>
      </x:c>
      <x:c r="X179" s="50" t="str">
        <x:v>Yoğunluk üretici datasheet; σ ve JCA/çerçeve parametreleri tahmindir, ürün bazlı ölçülmelidir.</x:v>
      </x:c>
    </x:row>
    <x:row r="180">
      <x:c r="A180" s="46" t="str">
        <x:v>RW-RW5-100</x:v>
      </x:c>
      <x:c r="B180" s="46" t="str">
        <x:v>Mineral yün</x:v>
      </x:c>
      <x:c r="C180" s="46" t="str">
        <x:v>Taş yünü levha</x:v>
      </x:c>
      <x:c r="D180" s="46" t="str">
        <x:v>ROCKWOOL</x:v>
      </x:c>
      <x:c r="E180" s="46" t="str">
        <x:v>RW5</x:v>
      </x:c>
      <x:c r="F180" s="70" t="str">
        <x:v>MANUFACTURER_DENSITY_PLUS_ESTIMATE</x:v>
      </x:c>
      <x:c r="G180" s="54" t="n">
        <x:v>100</x:v>
      </x:c>
      <x:c r="H180" s="54" t="n">
        <x:v>100</x:v>
      </x:c>
      <x:c r="I180" s="66" t="n">
        <x:v>40000</x:v>
      </x:c>
      <x:c r="J180" s="76" t="n">
        <x:f>IF(OR(G180="",I180=""),"",I180*G180/1000)</x:f>
        <x:v>4000</x:v>
      </x:c>
      <x:c r="K180" s="62" t="n">
        <x:v>0.97</x:v>
      </x:c>
      <x:c r="L180" s="62" t="n">
        <x:v>1.08</x:v>
      </x:c>
      <x:c r="M180" s="66" t="n">
        <x:v>90</x:v>
      </x:c>
      <x:c r="N180" s="66" t="n">
        <x:v>180</x:v>
      </x:c>
      <x:c r="O180" s="54" t="n">
        <x:v>700</x:v>
      </x:c>
      <x:c r="P180" s="62" t="n">
        <x:v>0.1</x:v>
      </x:c>
      <x:c r="Q180" s="62" t="n">
        <x:v>0.2</x:v>
      </x:c>
      <x:c r="R180" s="54"/>
      <x:c r="S180" s="62" t="n">
        <x:v>1.204</x:v>
      </x:c>
      <x:c r="T180" s="54" t="n">
        <x:v>343.2</x:v>
      </x:c>
      <x:c r="U180" s="86" t="n">
        <x:f>IF(OR(S180="",T180=""),"",S180*T180)</x:f>
        <x:v>413.21279999999996</x:v>
      </x:c>
      <x:c r="V180" s="46" t="str">
        <x:v>YÜKSEK (ρ) / DÜŞÜK (JCA)</x:v>
      </x:c>
      <x:c r="W180" s="46" t="str">
        <x:v>https://d-cdn.rockwool.com/syssiteassets/rw-uk/downloads/datasheets/rw-slabs.pdf</x:v>
      </x:c>
      <x:c r="X180" s="50" t="str">
        <x:v>Yoğunluk üretici datasheet; σ ve JCA/çerçeve parametreleri tahmindir, ürün bazlı ölçülmelidir.</x:v>
      </x:c>
    </x:row>
    <x:row r="181">
      <x:c r="A181" s="46" t="str">
        <x:v>RW-RW6-25</x:v>
      </x:c>
      <x:c r="B181" s="46" t="str">
        <x:v>Mineral yün</x:v>
      </x:c>
      <x:c r="C181" s="46" t="str">
        <x:v>Taş yünü levha</x:v>
      </x:c>
      <x:c r="D181" s="46" t="str">
        <x:v>ROCKWOOL</x:v>
      </x:c>
      <x:c r="E181" s="46" t="str">
        <x:v>RW6</x:v>
      </x:c>
      <x:c r="F181" s="70" t="str">
        <x:v>MANUFACTURER_DENSITY_PLUS_ESTIMATE</x:v>
      </x:c>
      <x:c r="G181" s="54" t="n">
        <x:v>25</x:v>
      </x:c>
      <x:c r="H181" s="54" t="n">
        <x:v>140</x:v>
      </x:c>
      <x:c r="I181" s="66" t="n">
        <x:v>65000</x:v>
      </x:c>
      <x:c r="J181" s="76" t="n">
        <x:f>IF(OR(G181="",I181=""),"",I181*G181/1000)</x:f>
        <x:v>1625</x:v>
      </x:c>
      <x:c r="K181" s="62" t="n">
        <x:v>0.97</x:v>
      </x:c>
      <x:c r="L181" s="62" t="n">
        <x:v>1.08</x:v>
      </x:c>
      <x:c r="M181" s="66" t="n">
        <x:v>90</x:v>
      </x:c>
      <x:c r="N181" s="66" t="n">
        <x:v>180</x:v>
      </x:c>
      <x:c r="O181" s="54" t="n">
        <x:v>700</x:v>
      </x:c>
      <x:c r="P181" s="62" t="n">
        <x:v>0.1</x:v>
      </x:c>
      <x:c r="Q181" s="62" t="n">
        <x:v>0.2</x:v>
      </x:c>
      <x:c r="R181" s="54"/>
      <x:c r="S181" s="62" t="n">
        <x:v>1.204</x:v>
      </x:c>
      <x:c r="T181" s="54" t="n">
        <x:v>343.2</x:v>
      </x:c>
      <x:c r="U181" s="86" t="n">
        <x:f>IF(OR(S181="",T181=""),"",S181*T181)</x:f>
        <x:v>413.21279999999996</x:v>
      </x:c>
      <x:c r="V181" s="46" t="str">
        <x:v>YÜKSEK (ρ) / DÜŞÜK (JCA)</x:v>
      </x:c>
      <x:c r="W181" s="46" t="str">
        <x:v>https://d-cdn.rockwool.com/syssiteassets/rw-uk/downloads/datasheets/rw-slabs.pdf</x:v>
      </x:c>
      <x:c r="X181" s="50" t="str">
        <x:v>Yoğunluk üretici datasheet; σ ve JCA/çerçeve parametreleri tahmindir, ürün bazlı ölçülmelidir.</x:v>
      </x:c>
    </x:row>
    <x:row r="182">
      <x:c r="A182" s="46" t="str">
        <x:v>RW-RW6-50</x:v>
      </x:c>
      <x:c r="B182" s="46" t="str">
        <x:v>Mineral yün</x:v>
      </x:c>
      <x:c r="C182" s="46" t="str">
        <x:v>Taş yünü levha</x:v>
      </x:c>
      <x:c r="D182" s="46" t="str">
        <x:v>ROCKWOOL</x:v>
      </x:c>
      <x:c r="E182" s="46" t="str">
        <x:v>RW6</x:v>
      </x:c>
      <x:c r="F182" s="70" t="str">
        <x:v>MANUFACTURER_DENSITY_PLUS_ESTIMATE</x:v>
      </x:c>
      <x:c r="G182" s="54" t="n">
        <x:v>50</x:v>
      </x:c>
      <x:c r="H182" s="54" t="n">
        <x:v>140</x:v>
      </x:c>
      <x:c r="I182" s="66" t="n">
        <x:v>65000</x:v>
      </x:c>
      <x:c r="J182" s="76" t="n">
        <x:f>IF(OR(G182="",I182=""),"",I182*G182/1000)</x:f>
        <x:v>3250</x:v>
      </x:c>
      <x:c r="K182" s="62" t="n">
        <x:v>0.97</x:v>
      </x:c>
      <x:c r="L182" s="62" t="n">
        <x:v>1.08</x:v>
      </x:c>
      <x:c r="M182" s="66" t="n">
        <x:v>90</x:v>
      </x:c>
      <x:c r="N182" s="66" t="n">
        <x:v>180</x:v>
      </x:c>
      <x:c r="O182" s="54" t="n">
        <x:v>700</x:v>
      </x:c>
      <x:c r="P182" s="62" t="n">
        <x:v>0.1</x:v>
      </x:c>
      <x:c r="Q182" s="62" t="n">
        <x:v>0.2</x:v>
      </x:c>
      <x:c r="R182" s="54"/>
      <x:c r="S182" s="62" t="n">
        <x:v>1.204</x:v>
      </x:c>
      <x:c r="T182" s="54" t="n">
        <x:v>343.2</x:v>
      </x:c>
      <x:c r="U182" s="86" t="n">
        <x:f>IF(OR(S182="",T182=""),"",S182*T182)</x:f>
        <x:v>413.21279999999996</x:v>
      </x:c>
      <x:c r="V182" s="46" t="str">
        <x:v>YÜKSEK (ρ) / DÜŞÜK (JCA)</x:v>
      </x:c>
      <x:c r="W182" s="46" t="str">
        <x:v>https://d-cdn.rockwool.com/syssiteassets/rw-uk/downloads/datasheets/rw-slabs.pdf</x:v>
      </x:c>
      <x:c r="X182" s="50" t="str">
        <x:v>Yoğunluk üretici datasheet; σ ve JCA/çerçeve parametreleri tahmindir, ürün bazlı ölçülmelidir.</x:v>
      </x:c>
    </x:row>
    <x:row r="183">
      <x:c r="A183" s="46" t="str">
        <x:v>RW-RW6-75</x:v>
      </x:c>
      <x:c r="B183" s="46" t="str">
        <x:v>Mineral yün</x:v>
      </x:c>
      <x:c r="C183" s="46" t="str">
        <x:v>Taş yünü levha</x:v>
      </x:c>
      <x:c r="D183" s="46" t="str">
        <x:v>ROCKWOOL</x:v>
      </x:c>
      <x:c r="E183" s="46" t="str">
        <x:v>RW6</x:v>
      </x:c>
      <x:c r="F183" s="70" t="str">
        <x:v>MANUFACTURER_DENSITY_PLUS_ESTIMATE</x:v>
      </x:c>
      <x:c r="G183" s="54" t="n">
        <x:v>75</x:v>
      </x:c>
      <x:c r="H183" s="54" t="n">
        <x:v>140</x:v>
      </x:c>
      <x:c r="I183" s="66" t="n">
        <x:v>65000</x:v>
      </x:c>
      <x:c r="J183" s="76" t="n">
        <x:f>IF(OR(G183="",I183=""),"",I183*G183/1000)</x:f>
        <x:v>4875</x:v>
      </x:c>
      <x:c r="K183" s="62" t="n">
        <x:v>0.97</x:v>
      </x:c>
      <x:c r="L183" s="62" t="n">
        <x:v>1.08</x:v>
      </x:c>
      <x:c r="M183" s="66" t="n">
        <x:v>90</x:v>
      </x:c>
      <x:c r="N183" s="66" t="n">
        <x:v>180</x:v>
      </x:c>
      <x:c r="O183" s="54" t="n">
        <x:v>700</x:v>
      </x:c>
      <x:c r="P183" s="62" t="n">
        <x:v>0.1</x:v>
      </x:c>
      <x:c r="Q183" s="62" t="n">
        <x:v>0.2</x:v>
      </x:c>
      <x:c r="R183" s="54"/>
      <x:c r="S183" s="62" t="n">
        <x:v>1.204</x:v>
      </x:c>
      <x:c r="T183" s="54" t="n">
        <x:v>343.2</x:v>
      </x:c>
      <x:c r="U183" s="86" t="n">
        <x:f>IF(OR(S183="",T183=""),"",S183*T183)</x:f>
        <x:v>413.21279999999996</x:v>
      </x:c>
      <x:c r="V183" s="46" t="str">
        <x:v>YÜKSEK (ρ) / DÜŞÜK (JCA)</x:v>
      </x:c>
      <x:c r="W183" s="46" t="str">
        <x:v>https://d-cdn.rockwool.com/syssiteassets/rw-uk/downloads/datasheets/rw-slabs.pdf</x:v>
      </x:c>
      <x:c r="X183" s="50" t="str">
        <x:v>Yoğunluk üretici datasheet; σ ve JCA/çerçeve parametreleri tahmindir, ürün bazlı ölçülmelidir.</x:v>
      </x:c>
    </x:row>
    <x:row r="184">
      <x:c r="A184" s="46" t="str">
        <x:v>RW-RW6-100</x:v>
      </x:c>
      <x:c r="B184" s="46" t="str">
        <x:v>Mineral yün</x:v>
      </x:c>
      <x:c r="C184" s="46" t="str">
        <x:v>Taş yünü levha</x:v>
      </x:c>
      <x:c r="D184" s="46" t="str">
        <x:v>ROCKWOOL</x:v>
      </x:c>
      <x:c r="E184" s="46" t="str">
        <x:v>RW6</x:v>
      </x:c>
      <x:c r="F184" s="70" t="str">
        <x:v>MANUFACTURER_DENSITY_PLUS_ESTIMATE</x:v>
      </x:c>
      <x:c r="G184" s="54" t="n">
        <x:v>100</x:v>
      </x:c>
      <x:c r="H184" s="54" t="n">
        <x:v>140</x:v>
      </x:c>
      <x:c r="I184" s="66" t="n">
        <x:v>65000</x:v>
      </x:c>
      <x:c r="J184" s="76" t="n">
        <x:f>IF(OR(G184="",I184=""),"",I184*G184/1000)</x:f>
        <x:v>6500</x:v>
      </x:c>
      <x:c r="K184" s="62" t="n">
        <x:v>0.97</x:v>
      </x:c>
      <x:c r="L184" s="62" t="n">
        <x:v>1.08</x:v>
      </x:c>
      <x:c r="M184" s="66" t="n">
        <x:v>90</x:v>
      </x:c>
      <x:c r="N184" s="66" t="n">
        <x:v>180</x:v>
      </x:c>
      <x:c r="O184" s="54" t="n">
        <x:v>700</x:v>
      </x:c>
      <x:c r="P184" s="62" t="n">
        <x:v>0.1</x:v>
      </x:c>
      <x:c r="Q184" s="62" t="n">
        <x:v>0.2</x:v>
      </x:c>
      <x:c r="R184" s="54"/>
      <x:c r="S184" s="62" t="n">
        <x:v>1.204</x:v>
      </x:c>
      <x:c r="T184" s="54" t="n">
        <x:v>343.2</x:v>
      </x:c>
      <x:c r="U184" s="86" t="n">
        <x:f>IF(OR(S184="",T184=""),"",S184*T184)</x:f>
        <x:v>413.21279999999996</x:v>
      </x:c>
      <x:c r="V184" s="46" t="str">
        <x:v>YÜKSEK (ρ) / DÜŞÜK (JCA)</x:v>
      </x:c>
      <x:c r="W184" s="46" t="str">
        <x:v>https://d-cdn.rockwool.com/syssiteassets/rw-uk/downloads/datasheets/rw-slabs.pdf</x:v>
      </x:c>
      <x:c r="X184" s="50" t="str">
        <x:v>Yoğunluk üretici datasheet; σ ve JCA/çerçeve parametreleri tahmindir, ürün bazlı ölçülmelidir.</x:v>
      </x:c>
    </x:row>
    <x:row r="185">
      <x:c r="A185" s="46" t="str">
        <x:v>POLYESTER-D20-T25</x:v>
      </x:c>
      <x:c r="B185" s="46" t="str">
        <x:v>Diğer gözenekli emici</x:v>
      </x:c>
      <x:c r="C185" s="46" t="str">
        <x:v>Polyester lif keçe</x:v>
      </x:c>
      <x:c r="D185" s="46" t="str">
        <x:v>GENERIC</x:v>
      </x:c>
      <x:c r="E185" s="46" t="str">
        <x:v>POLYESTER</x:v>
      </x:c>
      <x:c r="F185" s="70" t="str">
        <x:v>JCA_STARTING_ESTIMATE</x:v>
      </x:c>
      <x:c r="G185" s="54" t="n">
        <x:v>25</x:v>
      </x:c>
      <x:c r="H185" s="54" t="n">
        <x:v>20</x:v>
      </x:c>
      <x:c r="I185" s="66" t="n">
        <x:v>4000</x:v>
      </x:c>
      <x:c r="J185" s="76" t="n">
        <x:f>IF(OR(G185="",I185=""),"",I185*G185/1000)</x:f>
        <x:v>100</x:v>
      </x:c>
      <x:c r="K185" s="62" t="n">
        <x:v>0.98</x:v>
      </x:c>
      <x:c r="L185" s="62" t="n">
        <x:v>1.05</x:v>
      </x:c>
      <x:c r="M185" s="66" t="n">
        <x:v>120</x:v>
      </x:c>
      <x:c r="N185" s="66" t="n">
        <x:v>240</x:v>
      </x:c>
      <x:c r="O185" s="54" t="n">
        <x:v>80</x:v>
      </x:c>
      <x:c r="P185" s="62" t="n">
        <x:v>0.1</x:v>
      </x:c>
      <x:c r="Q185" s="62" t="n">
        <x:v>0.25</x:v>
      </x:c>
      <x:c r="R185" s="54"/>
      <x:c r="S185" s="62" t="n">
        <x:v>1.204</x:v>
      </x:c>
      <x:c r="T185" s="54" t="n">
        <x:v>343.2</x:v>
      </x:c>
      <x:c r="U185" s="86" t="n">
        <x:f>IF(OR(S185="",T185=""),"",S185*T185)</x:f>
        <x:v>413.21279999999996</x:v>
      </x:c>
      <x:c r="V185" s="46" t="str">
        <x:v>DÜŞÜK</x:v>
      </x:c>
      <x:c r="W185" s="46" t="str"/>
      <x:c r="X185" s="50" t="str">
        <x:v>Mikroyapı ve sıkıştırma bilinmeden yalnız yoğunlukla güvenilir akustik karakterizasyon yapılamaz.</x:v>
      </x:c>
    </x:row>
    <x:row r="186">
      <x:c r="A186" s="46" t="str">
        <x:v>POLYESTER-D20-T50</x:v>
      </x:c>
      <x:c r="B186" s="46" t="str">
        <x:v>Diğer gözenekli emici</x:v>
      </x:c>
      <x:c r="C186" s="46" t="str">
        <x:v>Polyester lif keçe</x:v>
      </x:c>
      <x:c r="D186" s="46" t="str">
        <x:v>GENERIC</x:v>
      </x:c>
      <x:c r="E186" s="46" t="str">
        <x:v>POLYESTER</x:v>
      </x:c>
      <x:c r="F186" s="70" t="str">
        <x:v>JCA_STARTING_ESTIMATE</x:v>
      </x:c>
      <x:c r="G186" s="54" t="n">
        <x:v>50</x:v>
      </x:c>
      <x:c r="H186" s="54" t="n">
        <x:v>20</x:v>
      </x:c>
      <x:c r="I186" s="66" t="n">
        <x:v>4000</x:v>
      </x:c>
      <x:c r="J186" s="76" t="n">
        <x:f>IF(OR(G186="",I186=""),"",I186*G186/1000)</x:f>
        <x:v>200</x:v>
      </x:c>
      <x:c r="K186" s="62" t="n">
        <x:v>0.98</x:v>
      </x:c>
      <x:c r="L186" s="62" t="n">
        <x:v>1.05</x:v>
      </x:c>
      <x:c r="M186" s="66" t="n">
        <x:v>120</x:v>
      </x:c>
      <x:c r="N186" s="66" t="n">
        <x:v>240</x:v>
      </x:c>
      <x:c r="O186" s="54" t="n">
        <x:v>80</x:v>
      </x:c>
      <x:c r="P186" s="62" t="n">
        <x:v>0.1</x:v>
      </x:c>
      <x:c r="Q186" s="62" t="n">
        <x:v>0.25</x:v>
      </x:c>
      <x:c r="R186" s="54"/>
      <x:c r="S186" s="62" t="n">
        <x:v>1.204</x:v>
      </x:c>
      <x:c r="T186" s="54" t="n">
        <x:v>343.2</x:v>
      </x:c>
      <x:c r="U186" s="86" t="n">
        <x:f>IF(OR(S186="",T186=""),"",S186*T186)</x:f>
        <x:v>413.21279999999996</x:v>
      </x:c>
      <x:c r="V186" s="46" t="str">
        <x:v>DÜŞÜK</x:v>
      </x:c>
      <x:c r="W186" s="46" t="str"/>
      <x:c r="X186" s="50" t="str">
        <x:v>Mikroyapı ve sıkıştırma bilinmeden yalnız yoğunlukla güvenilir akustik karakterizasyon yapılamaz.</x:v>
      </x:c>
    </x:row>
    <x:row r="187">
      <x:c r="A187" s="46" t="str">
        <x:v>POLYESTER-D20-T75</x:v>
      </x:c>
      <x:c r="B187" s="46" t="str">
        <x:v>Diğer gözenekli emici</x:v>
      </x:c>
      <x:c r="C187" s="46" t="str">
        <x:v>Polyester lif keçe</x:v>
      </x:c>
      <x:c r="D187" s="46" t="str">
        <x:v>GENERIC</x:v>
      </x:c>
      <x:c r="E187" s="46" t="str">
        <x:v>POLYESTER</x:v>
      </x:c>
      <x:c r="F187" s="70" t="str">
        <x:v>JCA_STARTING_ESTIMATE</x:v>
      </x:c>
      <x:c r="G187" s="54" t="n">
        <x:v>75</x:v>
      </x:c>
      <x:c r="H187" s="54" t="n">
        <x:v>20</x:v>
      </x:c>
      <x:c r="I187" s="66" t="n">
        <x:v>4000</x:v>
      </x:c>
      <x:c r="J187" s="76" t="n">
        <x:f>IF(OR(G187="",I187=""),"",I187*G187/1000)</x:f>
        <x:v>300</x:v>
      </x:c>
      <x:c r="K187" s="62" t="n">
        <x:v>0.98</x:v>
      </x:c>
      <x:c r="L187" s="62" t="n">
        <x:v>1.05</x:v>
      </x:c>
      <x:c r="M187" s="66" t="n">
        <x:v>120</x:v>
      </x:c>
      <x:c r="N187" s="66" t="n">
        <x:v>240</x:v>
      </x:c>
      <x:c r="O187" s="54" t="n">
        <x:v>80</x:v>
      </x:c>
      <x:c r="P187" s="62" t="n">
        <x:v>0.1</x:v>
      </x:c>
      <x:c r="Q187" s="62" t="n">
        <x:v>0.25</x:v>
      </x:c>
      <x:c r="R187" s="54"/>
      <x:c r="S187" s="62" t="n">
        <x:v>1.204</x:v>
      </x:c>
      <x:c r="T187" s="54" t="n">
        <x:v>343.2</x:v>
      </x:c>
      <x:c r="U187" s="86" t="n">
        <x:f>IF(OR(S187="",T187=""),"",S187*T187)</x:f>
        <x:v>413.21279999999996</x:v>
      </x:c>
      <x:c r="V187" s="46" t="str">
        <x:v>DÜŞÜK</x:v>
      </x:c>
      <x:c r="W187" s="46" t="str"/>
      <x:c r="X187" s="50" t="str">
        <x:v>Mikroyapı ve sıkıştırma bilinmeden yalnız yoğunlukla güvenilir akustik karakterizasyon yapılamaz.</x:v>
      </x:c>
    </x:row>
    <x:row r="188">
      <x:c r="A188" s="46" t="str">
        <x:v>POLYESTER-D20-T100</x:v>
      </x:c>
      <x:c r="B188" s="46" t="str">
        <x:v>Diğer gözenekli emici</x:v>
      </x:c>
      <x:c r="C188" s="46" t="str">
        <x:v>Polyester lif keçe</x:v>
      </x:c>
      <x:c r="D188" s="46" t="str">
        <x:v>GENERIC</x:v>
      </x:c>
      <x:c r="E188" s="46" t="str">
        <x:v>POLYESTER</x:v>
      </x:c>
      <x:c r="F188" s="70" t="str">
        <x:v>JCA_STARTING_ESTIMATE</x:v>
      </x:c>
      <x:c r="G188" s="54" t="n">
        <x:v>100</x:v>
      </x:c>
      <x:c r="H188" s="54" t="n">
        <x:v>20</x:v>
      </x:c>
      <x:c r="I188" s="66" t="n">
        <x:v>4000</x:v>
      </x:c>
      <x:c r="J188" s="76" t="n">
        <x:f>IF(OR(G188="",I188=""),"",I188*G188/1000)</x:f>
        <x:v>400</x:v>
      </x:c>
      <x:c r="K188" s="62" t="n">
        <x:v>0.98</x:v>
      </x:c>
      <x:c r="L188" s="62" t="n">
        <x:v>1.05</x:v>
      </x:c>
      <x:c r="M188" s="66" t="n">
        <x:v>120</x:v>
      </x:c>
      <x:c r="N188" s="66" t="n">
        <x:v>240</x:v>
      </x:c>
      <x:c r="O188" s="54" t="n">
        <x:v>80</x:v>
      </x:c>
      <x:c r="P188" s="62" t="n">
        <x:v>0.1</x:v>
      </x:c>
      <x:c r="Q188" s="62" t="n">
        <x:v>0.25</x:v>
      </x:c>
      <x:c r="R188" s="54"/>
      <x:c r="S188" s="62" t="n">
        <x:v>1.204</x:v>
      </x:c>
      <x:c r="T188" s="54" t="n">
        <x:v>343.2</x:v>
      </x:c>
      <x:c r="U188" s="86" t="n">
        <x:f>IF(OR(S188="",T188=""),"",S188*T188)</x:f>
        <x:v>413.21279999999996</x:v>
      </x:c>
      <x:c r="V188" s="46" t="str">
        <x:v>DÜŞÜK</x:v>
      </x:c>
      <x:c r="W188" s="46" t="str"/>
      <x:c r="X188" s="50" t="str">
        <x:v>Mikroyapı ve sıkıştırma bilinmeden yalnız yoğunlukla güvenilir akustik karakterizasyon yapılamaz.</x:v>
      </x:c>
    </x:row>
    <x:row r="189">
      <x:c r="A189" s="46" t="str">
        <x:v>POLYESTER-D30-T25</x:v>
      </x:c>
      <x:c r="B189" s="46" t="str">
        <x:v>Diğer gözenekli emici</x:v>
      </x:c>
      <x:c r="C189" s="46" t="str">
        <x:v>Polyester lif keçe</x:v>
      </x:c>
      <x:c r="D189" s="46" t="str">
        <x:v>GENERIC</x:v>
      </x:c>
      <x:c r="E189" s="46" t="str">
        <x:v>POLYESTER</x:v>
      </x:c>
      <x:c r="F189" s="70" t="str">
        <x:v>JCA_STARTING_ESTIMATE</x:v>
      </x:c>
      <x:c r="G189" s="54" t="n">
        <x:v>25</x:v>
      </x:c>
      <x:c r="H189" s="54" t="n">
        <x:v>30</x:v>
      </x:c>
      <x:c r="I189" s="66" t="n">
        <x:v>6500</x:v>
      </x:c>
      <x:c r="J189" s="76" t="n">
        <x:f>IF(OR(G189="",I189=""),"",I189*G189/1000)</x:f>
        <x:v>162.5</x:v>
      </x:c>
      <x:c r="K189" s="62" t="n">
        <x:v>0.98</x:v>
      </x:c>
      <x:c r="L189" s="62" t="n">
        <x:v>1.05</x:v>
      </x:c>
      <x:c r="M189" s="66" t="n">
        <x:v>120</x:v>
      </x:c>
      <x:c r="N189" s="66" t="n">
        <x:v>240</x:v>
      </x:c>
      <x:c r="O189" s="54" t="n">
        <x:v>120</x:v>
      </x:c>
      <x:c r="P189" s="62" t="n">
        <x:v>0.1</x:v>
      </x:c>
      <x:c r="Q189" s="62" t="n">
        <x:v>0.25</x:v>
      </x:c>
      <x:c r="R189" s="54"/>
      <x:c r="S189" s="62" t="n">
        <x:v>1.204</x:v>
      </x:c>
      <x:c r="T189" s="54" t="n">
        <x:v>343.2</x:v>
      </x:c>
      <x:c r="U189" s="86" t="n">
        <x:f>IF(OR(S189="",T189=""),"",S189*T189)</x:f>
        <x:v>413.21279999999996</x:v>
      </x:c>
      <x:c r="V189" s="46" t="str">
        <x:v>DÜŞÜK</x:v>
      </x:c>
      <x:c r="W189" s="46" t="str"/>
      <x:c r="X189" s="50" t="str">
        <x:v>Mikroyapı ve sıkıştırma bilinmeden yalnız yoğunlukla güvenilir akustik karakterizasyon yapılamaz.</x:v>
      </x:c>
    </x:row>
    <x:row r="190">
      <x:c r="A190" s="46" t="str">
        <x:v>POLYESTER-D30-T50</x:v>
      </x:c>
      <x:c r="B190" s="46" t="str">
        <x:v>Diğer gözenekli emici</x:v>
      </x:c>
      <x:c r="C190" s="46" t="str">
        <x:v>Polyester lif keçe</x:v>
      </x:c>
      <x:c r="D190" s="46" t="str">
        <x:v>GENERIC</x:v>
      </x:c>
      <x:c r="E190" s="46" t="str">
        <x:v>POLYESTER</x:v>
      </x:c>
      <x:c r="F190" s="70" t="str">
        <x:v>JCA_STARTING_ESTIMATE</x:v>
      </x:c>
      <x:c r="G190" s="54" t="n">
        <x:v>50</x:v>
      </x:c>
      <x:c r="H190" s="54" t="n">
        <x:v>30</x:v>
      </x:c>
      <x:c r="I190" s="66" t="n">
        <x:v>6500</x:v>
      </x:c>
      <x:c r="J190" s="76" t="n">
        <x:f>IF(OR(G190="",I190=""),"",I190*G190/1000)</x:f>
        <x:v>325</x:v>
      </x:c>
      <x:c r="K190" s="62" t="n">
        <x:v>0.98</x:v>
      </x:c>
      <x:c r="L190" s="62" t="n">
        <x:v>1.05</x:v>
      </x:c>
      <x:c r="M190" s="66" t="n">
        <x:v>120</x:v>
      </x:c>
      <x:c r="N190" s="66" t="n">
        <x:v>240</x:v>
      </x:c>
      <x:c r="O190" s="54" t="n">
        <x:v>120</x:v>
      </x:c>
      <x:c r="P190" s="62" t="n">
        <x:v>0.1</x:v>
      </x:c>
      <x:c r="Q190" s="62" t="n">
        <x:v>0.25</x:v>
      </x:c>
      <x:c r="R190" s="54"/>
      <x:c r="S190" s="62" t="n">
        <x:v>1.204</x:v>
      </x:c>
      <x:c r="T190" s="54" t="n">
        <x:v>343.2</x:v>
      </x:c>
      <x:c r="U190" s="86" t="n">
        <x:f>IF(OR(S190="",T190=""),"",S190*T190)</x:f>
        <x:v>413.21279999999996</x:v>
      </x:c>
      <x:c r="V190" s="46" t="str">
        <x:v>DÜŞÜK</x:v>
      </x:c>
      <x:c r="W190" s="46" t="str"/>
      <x:c r="X190" s="50" t="str">
        <x:v>Mikroyapı ve sıkıştırma bilinmeden yalnız yoğunlukla güvenilir akustik karakterizasyon yapılamaz.</x:v>
      </x:c>
    </x:row>
    <x:row r="191">
      <x:c r="A191" s="46" t="str">
        <x:v>POLYESTER-D30-T75</x:v>
      </x:c>
      <x:c r="B191" s="46" t="str">
        <x:v>Diğer gözenekli emici</x:v>
      </x:c>
      <x:c r="C191" s="46" t="str">
        <x:v>Polyester lif keçe</x:v>
      </x:c>
      <x:c r="D191" s="46" t="str">
        <x:v>GENERIC</x:v>
      </x:c>
      <x:c r="E191" s="46" t="str">
        <x:v>POLYESTER</x:v>
      </x:c>
      <x:c r="F191" s="70" t="str">
        <x:v>JCA_STARTING_ESTIMATE</x:v>
      </x:c>
      <x:c r="G191" s="54" t="n">
        <x:v>75</x:v>
      </x:c>
      <x:c r="H191" s="54" t="n">
        <x:v>30</x:v>
      </x:c>
      <x:c r="I191" s="66" t="n">
        <x:v>6500</x:v>
      </x:c>
      <x:c r="J191" s="76" t="n">
        <x:f>IF(OR(G191="",I191=""),"",I191*G191/1000)</x:f>
        <x:v>487.5</x:v>
      </x:c>
      <x:c r="K191" s="62" t="n">
        <x:v>0.98</x:v>
      </x:c>
      <x:c r="L191" s="62" t="n">
        <x:v>1.05</x:v>
      </x:c>
      <x:c r="M191" s="66" t="n">
        <x:v>120</x:v>
      </x:c>
      <x:c r="N191" s="66" t="n">
        <x:v>240</x:v>
      </x:c>
      <x:c r="O191" s="54" t="n">
        <x:v>120</x:v>
      </x:c>
      <x:c r="P191" s="62" t="n">
        <x:v>0.1</x:v>
      </x:c>
      <x:c r="Q191" s="62" t="n">
        <x:v>0.25</x:v>
      </x:c>
      <x:c r="R191" s="54"/>
      <x:c r="S191" s="62" t="n">
        <x:v>1.204</x:v>
      </x:c>
      <x:c r="T191" s="54" t="n">
        <x:v>343.2</x:v>
      </x:c>
      <x:c r="U191" s="86" t="n">
        <x:f>IF(OR(S191="",T191=""),"",S191*T191)</x:f>
        <x:v>413.21279999999996</x:v>
      </x:c>
      <x:c r="V191" s="46" t="str">
        <x:v>DÜŞÜK</x:v>
      </x:c>
      <x:c r="W191" s="46" t="str"/>
      <x:c r="X191" s="50" t="str">
        <x:v>Mikroyapı ve sıkıştırma bilinmeden yalnız yoğunlukla güvenilir akustik karakterizasyon yapılamaz.</x:v>
      </x:c>
    </x:row>
    <x:row r="192">
      <x:c r="A192" s="46" t="str">
        <x:v>POLYESTER-D30-T100</x:v>
      </x:c>
      <x:c r="B192" s="46" t="str">
        <x:v>Diğer gözenekli emici</x:v>
      </x:c>
      <x:c r="C192" s="46" t="str">
        <x:v>Polyester lif keçe</x:v>
      </x:c>
      <x:c r="D192" s="46" t="str">
        <x:v>GENERIC</x:v>
      </x:c>
      <x:c r="E192" s="46" t="str">
        <x:v>POLYESTER</x:v>
      </x:c>
      <x:c r="F192" s="70" t="str">
        <x:v>JCA_STARTING_ESTIMATE</x:v>
      </x:c>
      <x:c r="G192" s="54" t="n">
        <x:v>100</x:v>
      </x:c>
      <x:c r="H192" s="54" t="n">
        <x:v>30</x:v>
      </x:c>
      <x:c r="I192" s="66" t="n">
        <x:v>6500</x:v>
      </x:c>
      <x:c r="J192" s="76" t="n">
        <x:f>IF(OR(G192="",I192=""),"",I192*G192/1000)</x:f>
        <x:v>650</x:v>
      </x:c>
      <x:c r="K192" s="62" t="n">
        <x:v>0.98</x:v>
      </x:c>
      <x:c r="L192" s="62" t="n">
        <x:v>1.05</x:v>
      </x:c>
      <x:c r="M192" s="66" t="n">
        <x:v>120</x:v>
      </x:c>
      <x:c r="N192" s="66" t="n">
        <x:v>240</x:v>
      </x:c>
      <x:c r="O192" s="54" t="n">
        <x:v>120</x:v>
      </x:c>
      <x:c r="P192" s="62" t="n">
        <x:v>0.1</x:v>
      </x:c>
      <x:c r="Q192" s="62" t="n">
        <x:v>0.25</x:v>
      </x:c>
      <x:c r="R192" s="54"/>
      <x:c r="S192" s="62" t="n">
        <x:v>1.204</x:v>
      </x:c>
      <x:c r="T192" s="54" t="n">
        <x:v>343.2</x:v>
      </x:c>
      <x:c r="U192" s="86" t="n">
        <x:f>IF(OR(S192="",T192=""),"",S192*T192)</x:f>
        <x:v>413.21279999999996</x:v>
      </x:c>
      <x:c r="V192" s="46" t="str">
        <x:v>DÜŞÜK</x:v>
      </x:c>
      <x:c r="W192" s="46" t="str"/>
      <x:c r="X192" s="50" t="str">
        <x:v>Mikroyapı ve sıkıştırma bilinmeden yalnız yoğunlukla güvenilir akustik karakterizasyon yapılamaz.</x:v>
      </x:c>
    </x:row>
    <x:row r="193">
      <x:c r="A193" s="46" t="str">
        <x:v>POLYESTER-D40-T25</x:v>
      </x:c>
      <x:c r="B193" s="46" t="str">
        <x:v>Diğer gözenekli emici</x:v>
      </x:c>
      <x:c r="C193" s="46" t="str">
        <x:v>Polyester lif keçe</x:v>
      </x:c>
      <x:c r="D193" s="46" t="str">
        <x:v>GENERIC</x:v>
      </x:c>
      <x:c r="E193" s="46" t="str">
        <x:v>POLYESTER</x:v>
      </x:c>
      <x:c r="F193" s="70" t="str">
        <x:v>JCA_STARTING_ESTIMATE</x:v>
      </x:c>
      <x:c r="G193" s="54" t="n">
        <x:v>25</x:v>
      </x:c>
      <x:c r="H193" s="54" t="n">
        <x:v>40</x:v>
      </x:c>
      <x:c r="I193" s="66" t="n">
        <x:v>9000</x:v>
      </x:c>
      <x:c r="J193" s="76" t="n">
        <x:f>IF(OR(G193="",I193=""),"",I193*G193/1000)</x:f>
        <x:v>225</x:v>
      </x:c>
      <x:c r="K193" s="62" t="n">
        <x:v>0.98</x:v>
      </x:c>
      <x:c r="L193" s="62" t="n">
        <x:v>1.05</x:v>
      </x:c>
      <x:c r="M193" s="66" t="n">
        <x:v>120</x:v>
      </x:c>
      <x:c r="N193" s="66" t="n">
        <x:v>240</x:v>
      </x:c>
      <x:c r="O193" s="54" t="n">
        <x:v>160</x:v>
      </x:c>
      <x:c r="P193" s="62" t="n">
        <x:v>0.1</x:v>
      </x:c>
      <x:c r="Q193" s="62" t="n">
        <x:v>0.25</x:v>
      </x:c>
      <x:c r="R193" s="54"/>
      <x:c r="S193" s="62" t="n">
        <x:v>1.204</x:v>
      </x:c>
      <x:c r="T193" s="54" t="n">
        <x:v>343.2</x:v>
      </x:c>
      <x:c r="U193" s="86" t="n">
        <x:f>IF(OR(S193="",T193=""),"",S193*T193)</x:f>
        <x:v>413.21279999999996</x:v>
      </x:c>
      <x:c r="V193" s="46" t="str">
        <x:v>DÜŞÜK</x:v>
      </x:c>
      <x:c r="W193" s="46" t="str"/>
      <x:c r="X193" s="50" t="str">
        <x:v>Mikroyapı ve sıkıştırma bilinmeden yalnız yoğunlukla güvenilir akustik karakterizasyon yapılamaz.</x:v>
      </x:c>
    </x:row>
    <x:row r="194">
      <x:c r="A194" s="46" t="str">
        <x:v>POLYESTER-D40-T50</x:v>
      </x:c>
      <x:c r="B194" s="46" t="str">
        <x:v>Diğer gözenekli emici</x:v>
      </x:c>
      <x:c r="C194" s="46" t="str">
        <x:v>Polyester lif keçe</x:v>
      </x:c>
      <x:c r="D194" s="46" t="str">
        <x:v>GENERIC</x:v>
      </x:c>
      <x:c r="E194" s="46" t="str">
        <x:v>POLYESTER</x:v>
      </x:c>
      <x:c r="F194" s="70" t="str">
        <x:v>JCA_STARTING_ESTIMATE</x:v>
      </x:c>
      <x:c r="G194" s="54" t="n">
        <x:v>50</x:v>
      </x:c>
      <x:c r="H194" s="54" t="n">
        <x:v>40</x:v>
      </x:c>
      <x:c r="I194" s="66" t="n">
        <x:v>9000</x:v>
      </x:c>
      <x:c r="J194" s="76" t="n">
        <x:f>IF(OR(G194="",I194=""),"",I194*G194/1000)</x:f>
        <x:v>450</x:v>
      </x:c>
      <x:c r="K194" s="62" t="n">
        <x:v>0.98</x:v>
      </x:c>
      <x:c r="L194" s="62" t="n">
        <x:v>1.05</x:v>
      </x:c>
      <x:c r="M194" s="66" t="n">
        <x:v>120</x:v>
      </x:c>
      <x:c r="N194" s="66" t="n">
        <x:v>240</x:v>
      </x:c>
      <x:c r="O194" s="54" t="n">
        <x:v>160</x:v>
      </x:c>
      <x:c r="P194" s="62" t="n">
        <x:v>0.1</x:v>
      </x:c>
      <x:c r="Q194" s="62" t="n">
        <x:v>0.25</x:v>
      </x:c>
      <x:c r="R194" s="54"/>
      <x:c r="S194" s="62" t="n">
        <x:v>1.204</x:v>
      </x:c>
      <x:c r="T194" s="54" t="n">
        <x:v>343.2</x:v>
      </x:c>
      <x:c r="U194" s="86" t="n">
        <x:f>IF(OR(S194="",T194=""),"",S194*T194)</x:f>
        <x:v>413.21279999999996</x:v>
      </x:c>
      <x:c r="V194" s="46" t="str">
        <x:v>DÜŞÜK</x:v>
      </x:c>
      <x:c r="W194" s="46" t="str"/>
      <x:c r="X194" s="50" t="str">
        <x:v>Mikroyapı ve sıkıştırma bilinmeden yalnız yoğunlukla güvenilir akustik karakterizasyon yapılamaz.</x:v>
      </x:c>
    </x:row>
    <x:row r="195">
      <x:c r="A195" s="46" t="str">
        <x:v>POLYESTER-D40-T75</x:v>
      </x:c>
      <x:c r="B195" s="46" t="str">
        <x:v>Diğer gözenekli emici</x:v>
      </x:c>
      <x:c r="C195" s="46" t="str">
        <x:v>Polyester lif keçe</x:v>
      </x:c>
      <x:c r="D195" s="46" t="str">
        <x:v>GENERIC</x:v>
      </x:c>
      <x:c r="E195" s="46" t="str">
        <x:v>POLYESTER</x:v>
      </x:c>
      <x:c r="F195" s="70" t="str">
        <x:v>JCA_STARTING_ESTIMATE</x:v>
      </x:c>
      <x:c r="G195" s="54" t="n">
        <x:v>75</x:v>
      </x:c>
      <x:c r="H195" s="54" t="n">
        <x:v>40</x:v>
      </x:c>
      <x:c r="I195" s="66" t="n">
        <x:v>9000</x:v>
      </x:c>
      <x:c r="J195" s="76" t="n">
        <x:f>IF(OR(G195="",I195=""),"",I195*G195/1000)</x:f>
        <x:v>675</x:v>
      </x:c>
      <x:c r="K195" s="62" t="n">
        <x:v>0.98</x:v>
      </x:c>
      <x:c r="L195" s="62" t="n">
        <x:v>1.05</x:v>
      </x:c>
      <x:c r="M195" s="66" t="n">
        <x:v>120</x:v>
      </x:c>
      <x:c r="N195" s="66" t="n">
        <x:v>240</x:v>
      </x:c>
      <x:c r="O195" s="54" t="n">
        <x:v>160</x:v>
      </x:c>
      <x:c r="P195" s="62" t="n">
        <x:v>0.1</x:v>
      </x:c>
      <x:c r="Q195" s="62" t="n">
        <x:v>0.25</x:v>
      </x:c>
      <x:c r="R195" s="54"/>
      <x:c r="S195" s="62" t="n">
        <x:v>1.204</x:v>
      </x:c>
      <x:c r="T195" s="54" t="n">
        <x:v>343.2</x:v>
      </x:c>
      <x:c r="U195" s="86" t="n">
        <x:f>IF(OR(S195="",T195=""),"",S195*T195)</x:f>
        <x:v>413.21279999999996</x:v>
      </x:c>
      <x:c r="V195" s="46" t="str">
        <x:v>DÜŞÜK</x:v>
      </x:c>
      <x:c r="W195" s="46" t="str"/>
      <x:c r="X195" s="50" t="str">
        <x:v>Mikroyapı ve sıkıştırma bilinmeden yalnız yoğunlukla güvenilir akustik karakterizasyon yapılamaz.</x:v>
      </x:c>
    </x:row>
    <x:row r="196">
      <x:c r="A196" s="46" t="str">
        <x:v>POLYESTER-D40-T100</x:v>
      </x:c>
      <x:c r="B196" s="46" t="str">
        <x:v>Diğer gözenekli emici</x:v>
      </x:c>
      <x:c r="C196" s="46" t="str">
        <x:v>Polyester lif keçe</x:v>
      </x:c>
      <x:c r="D196" s="46" t="str">
        <x:v>GENERIC</x:v>
      </x:c>
      <x:c r="E196" s="46" t="str">
        <x:v>POLYESTER</x:v>
      </x:c>
      <x:c r="F196" s="70" t="str">
        <x:v>JCA_STARTING_ESTIMATE</x:v>
      </x:c>
      <x:c r="G196" s="54" t="n">
        <x:v>100</x:v>
      </x:c>
      <x:c r="H196" s="54" t="n">
        <x:v>40</x:v>
      </x:c>
      <x:c r="I196" s="66" t="n">
        <x:v>9000</x:v>
      </x:c>
      <x:c r="J196" s="76" t="n">
        <x:f>IF(OR(G196="",I196=""),"",I196*G196/1000)</x:f>
        <x:v>900</x:v>
      </x:c>
      <x:c r="K196" s="62" t="n">
        <x:v>0.98</x:v>
      </x:c>
      <x:c r="L196" s="62" t="n">
        <x:v>1.05</x:v>
      </x:c>
      <x:c r="M196" s="66" t="n">
        <x:v>120</x:v>
      </x:c>
      <x:c r="N196" s="66" t="n">
        <x:v>240</x:v>
      </x:c>
      <x:c r="O196" s="54" t="n">
        <x:v>160</x:v>
      </x:c>
      <x:c r="P196" s="62" t="n">
        <x:v>0.1</x:v>
      </x:c>
      <x:c r="Q196" s="62" t="n">
        <x:v>0.25</x:v>
      </x:c>
      <x:c r="R196" s="54"/>
      <x:c r="S196" s="62" t="n">
        <x:v>1.204</x:v>
      </x:c>
      <x:c r="T196" s="54" t="n">
        <x:v>343.2</x:v>
      </x:c>
      <x:c r="U196" s="86" t="n">
        <x:f>IF(OR(S196="",T196=""),"",S196*T196)</x:f>
        <x:v>413.21279999999996</x:v>
      </x:c>
      <x:c r="V196" s="46" t="str">
        <x:v>DÜŞÜK</x:v>
      </x:c>
      <x:c r="W196" s="46" t="str"/>
      <x:c r="X196" s="50" t="str">
        <x:v>Mikroyapı ve sıkıştırma bilinmeden yalnız yoğunlukla güvenilir akustik karakterizasyon yapılamaz.</x:v>
      </x:c>
    </x:row>
    <x:row r="197">
      <x:c r="A197" s="46" t="str">
        <x:v>POLYESTER-D60-T25</x:v>
      </x:c>
      <x:c r="B197" s="46" t="str">
        <x:v>Diğer gözenekli emici</x:v>
      </x:c>
      <x:c r="C197" s="46" t="str">
        <x:v>Polyester lif keçe</x:v>
      </x:c>
      <x:c r="D197" s="46" t="str">
        <x:v>GENERIC</x:v>
      </x:c>
      <x:c r="E197" s="46" t="str">
        <x:v>POLYESTER</x:v>
      </x:c>
      <x:c r="F197" s="70" t="str">
        <x:v>JCA_STARTING_ESTIMATE</x:v>
      </x:c>
      <x:c r="G197" s="54" t="n">
        <x:v>25</x:v>
      </x:c>
      <x:c r="H197" s="54" t="n">
        <x:v>60</x:v>
      </x:c>
      <x:c r="I197" s="66" t="n">
        <x:v>15000</x:v>
      </x:c>
      <x:c r="J197" s="76" t="n">
        <x:f>IF(OR(G197="",I197=""),"",I197*G197/1000)</x:f>
        <x:v>375</x:v>
      </x:c>
      <x:c r="K197" s="62" t="n">
        <x:v>0.98</x:v>
      </x:c>
      <x:c r="L197" s="62" t="n">
        <x:v>1.05</x:v>
      </x:c>
      <x:c r="M197" s="66" t="n">
        <x:v>120</x:v>
      </x:c>
      <x:c r="N197" s="66" t="n">
        <x:v>240</x:v>
      </x:c>
      <x:c r="O197" s="54" t="n">
        <x:v>240</x:v>
      </x:c>
      <x:c r="P197" s="62" t="n">
        <x:v>0.1</x:v>
      </x:c>
      <x:c r="Q197" s="62" t="n">
        <x:v>0.25</x:v>
      </x:c>
      <x:c r="R197" s="54"/>
      <x:c r="S197" s="62" t="n">
        <x:v>1.204</x:v>
      </x:c>
      <x:c r="T197" s="54" t="n">
        <x:v>343.2</x:v>
      </x:c>
      <x:c r="U197" s="86" t="n">
        <x:f>IF(OR(S197="",T197=""),"",S197*T197)</x:f>
        <x:v>413.21279999999996</x:v>
      </x:c>
      <x:c r="V197" s="46" t="str">
        <x:v>DÜŞÜK</x:v>
      </x:c>
      <x:c r="W197" s="46" t="str"/>
      <x:c r="X197" s="50" t="str">
        <x:v>Mikroyapı ve sıkıştırma bilinmeden yalnız yoğunlukla güvenilir akustik karakterizasyon yapılamaz.</x:v>
      </x:c>
    </x:row>
    <x:row r="198">
      <x:c r="A198" s="46" t="str">
        <x:v>POLYESTER-D60-T50</x:v>
      </x:c>
      <x:c r="B198" s="46" t="str">
        <x:v>Diğer gözenekli emici</x:v>
      </x:c>
      <x:c r="C198" s="46" t="str">
        <x:v>Polyester lif keçe</x:v>
      </x:c>
      <x:c r="D198" s="46" t="str">
        <x:v>GENERIC</x:v>
      </x:c>
      <x:c r="E198" s="46" t="str">
        <x:v>POLYESTER</x:v>
      </x:c>
      <x:c r="F198" s="70" t="str">
        <x:v>JCA_STARTING_ESTIMATE</x:v>
      </x:c>
      <x:c r="G198" s="54" t="n">
        <x:v>50</x:v>
      </x:c>
      <x:c r="H198" s="54" t="n">
        <x:v>60</x:v>
      </x:c>
      <x:c r="I198" s="66" t="n">
        <x:v>15000</x:v>
      </x:c>
      <x:c r="J198" s="76" t="n">
        <x:f>IF(OR(G198="",I198=""),"",I198*G198/1000)</x:f>
        <x:v>750</x:v>
      </x:c>
      <x:c r="K198" s="62" t="n">
        <x:v>0.98</x:v>
      </x:c>
      <x:c r="L198" s="62" t="n">
        <x:v>1.05</x:v>
      </x:c>
      <x:c r="M198" s="66" t="n">
        <x:v>120</x:v>
      </x:c>
      <x:c r="N198" s="66" t="n">
        <x:v>240</x:v>
      </x:c>
      <x:c r="O198" s="54" t="n">
        <x:v>240</x:v>
      </x:c>
      <x:c r="P198" s="62" t="n">
        <x:v>0.1</x:v>
      </x:c>
      <x:c r="Q198" s="62" t="n">
        <x:v>0.25</x:v>
      </x:c>
      <x:c r="R198" s="54"/>
      <x:c r="S198" s="62" t="n">
        <x:v>1.204</x:v>
      </x:c>
      <x:c r="T198" s="54" t="n">
        <x:v>343.2</x:v>
      </x:c>
      <x:c r="U198" s="86" t="n">
        <x:f>IF(OR(S198="",T198=""),"",S198*T198)</x:f>
        <x:v>413.21279999999996</x:v>
      </x:c>
      <x:c r="V198" s="46" t="str">
        <x:v>DÜŞÜK</x:v>
      </x:c>
      <x:c r="W198" s="46" t="str"/>
      <x:c r="X198" s="50" t="str">
        <x:v>Mikroyapı ve sıkıştırma bilinmeden yalnız yoğunlukla güvenilir akustik karakterizasyon yapılamaz.</x:v>
      </x:c>
    </x:row>
    <x:row r="199">
      <x:c r="A199" s="46" t="str">
        <x:v>POLYESTER-D60-T75</x:v>
      </x:c>
      <x:c r="B199" s="46" t="str">
        <x:v>Diğer gözenekli emici</x:v>
      </x:c>
      <x:c r="C199" s="46" t="str">
        <x:v>Polyester lif keçe</x:v>
      </x:c>
      <x:c r="D199" s="46" t="str">
        <x:v>GENERIC</x:v>
      </x:c>
      <x:c r="E199" s="46" t="str">
        <x:v>POLYESTER</x:v>
      </x:c>
      <x:c r="F199" s="70" t="str">
        <x:v>JCA_STARTING_ESTIMATE</x:v>
      </x:c>
      <x:c r="G199" s="54" t="n">
        <x:v>75</x:v>
      </x:c>
      <x:c r="H199" s="54" t="n">
        <x:v>60</x:v>
      </x:c>
      <x:c r="I199" s="66" t="n">
        <x:v>15000</x:v>
      </x:c>
      <x:c r="J199" s="76" t="n">
        <x:f>IF(OR(G199="",I199=""),"",I199*G199/1000)</x:f>
        <x:v>1125</x:v>
      </x:c>
      <x:c r="K199" s="62" t="n">
        <x:v>0.98</x:v>
      </x:c>
      <x:c r="L199" s="62" t="n">
        <x:v>1.05</x:v>
      </x:c>
      <x:c r="M199" s="66" t="n">
        <x:v>120</x:v>
      </x:c>
      <x:c r="N199" s="66" t="n">
        <x:v>240</x:v>
      </x:c>
      <x:c r="O199" s="54" t="n">
        <x:v>240</x:v>
      </x:c>
      <x:c r="P199" s="62" t="n">
        <x:v>0.1</x:v>
      </x:c>
      <x:c r="Q199" s="62" t="n">
        <x:v>0.25</x:v>
      </x:c>
      <x:c r="R199" s="54"/>
      <x:c r="S199" s="62" t="n">
        <x:v>1.204</x:v>
      </x:c>
      <x:c r="T199" s="54" t="n">
        <x:v>343.2</x:v>
      </x:c>
      <x:c r="U199" s="86" t="n">
        <x:f>IF(OR(S199="",T199=""),"",S199*T199)</x:f>
        <x:v>413.21279999999996</x:v>
      </x:c>
      <x:c r="V199" s="46" t="str">
        <x:v>DÜŞÜK</x:v>
      </x:c>
      <x:c r="W199" s="46" t="str"/>
      <x:c r="X199" s="50" t="str">
        <x:v>Mikroyapı ve sıkıştırma bilinmeden yalnız yoğunlukla güvenilir akustik karakterizasyon yapılamaz.</x:v>
      </x:c>
    </x:row>
    <x:row r="200">
      <x:c r="A200" s="46" t="str">
        <x:v>POLYESTER-D60-T100</x:v>
      </x:c>
      <x:c r="B200" s="46" t="str">
        <x:v>Diğer gözenekli emici</x:v>
      </x:c>
      <x:c r="C200" s="46" t="str">
        <x:v>Polyester lif keçe</x:v>
      </x:c>
      <x:c r="D200" s="46" t="str">
        <x:v>GENERIC</x:v>
      </x:c>
      <x:c r="E200" s="46" t="str">
        <x:v>POLYESTER</x:v>
      </x:c>
      <x:c r="F200" s="70" t="str">
        <x:v>JCA_STARTING_ESTIMATE</x:v>
      </x:c>
      <x:c r="G200" s="54" t="n">
        <x:v>100</x:v>
      </x:c>
      <x:c r="H200" s="54" t="n">
        <x:v>60</x:v>
      </x:c>
      <x:c r="I200" s="66" t="n">
        <x:v>15000</x:v>
      </x:c>
      <x:c r="J200" s="76" t="n">
        <x:f>IF(OR(G200="",I200=""),"",I200*G200/1000)</x:f>
        <x:v>1500</x:v>
      </x:c>
      <x:c r="K200" s="62" t="n">
        <x:v>0.98</x:v>
      </x:c>
      <x:c r="L200" s="62" t="n">
        <x:v>1.05</x:v>
      </x:c>
      <x:c r="M200" s="66" t="n">
        <x:v>120</x:v>
      </x:c>
      <x:c r="N200" s="66" t="n">
        <x:v>240</x:v>
      </x:c>
      <x:c r="O200" s="54" t="n">
        <x:v>240</x:v>
      </x:c>
      <x:c r="P200" s="62" t="n">
        <x:v>0.1</x:v>
      </x:c>
      <x:c r="Q200" s="62" t="n">
        <x:v>0.25</x:v>
      </x:c>
      <x:c r="R200" s="54"/>
      <x:c r="S200" s="62" t="n">
        <x:v>1.204</x:v>
      </x:c>
      <x:c r="T200" s="54" t="n">
        <x:v>343.2</x:v>
      </x:c>
      <x:c r="U200" s="86" t="n">
        <x:f>IF(OR(S200="",T200=""),"",S200*T200)</x:f>
        <x:v>413.21279999999996</x:v>
      </x:c>
      <x:c r="V200" s="46" t="str">
        <x:v>DÜŞÜK</x:v>
      </x:c>
      <x:c r="W200" s="46" t="str"/>
      <x:c r="X200" s="50" t="str">
        <x:v>Mikroyapı ve sıkıştırma bilinmeden yalnız yoğunlukla güvenilir akustik karakterizasyon yapılamaz.</x:v>
      </x:c>
    </x:row>
    <x:row r="201">
      <x:c r="A201" s="46" t="str">
        <x:v>POLYESTER-D80-T25</x:v>
      </x:c>
      <x:c r="B201" s="46" t="str">
        <x:v>Diğer gözenekli emici</x:v>
      </x:c>
      <x:c r="C201" s="46" t="str">
        <x:v>Polyester lif keçe</x:v>
      </x:c>
      <x:c r="D201" s="46" t="str">
        <x:v>GENERIC</x:v>
      </x:c>
      <x:c r="E201" s="46" t="str">
        <x:v>POLYESTER</x:v>
      </x:c>
      <x:c r="F201" s="70" t="str">
        <x:v>JCA_STARTING_ESTIMATE</x:v>
      </x:c>
      <x:c r="G201" s="54" t="n">
        <x:v>25</x:v>
      </x:c>
      <x:c r="H201" s="54" t="n">
        <x:v>80</x:v>
      </x:c>
      <x:c r="I201" s="66" t="n">
        <x:v>22000</x:v>
      </x:c>
      <x:c r="J201" s="76" t="n">
        <x:f>IF(OR(G201="",I201=""),"",I201*G201/1000)</x:f>
        <x:v>550</x:v>
      </x:c>
      <x:c r="K201" s="62" t="n">
        <x:v>0.98</x:v>
      </x:c>
      <x:c r="L201" s="62" t="n">
        <x:v>1.05</x:v>
      </x:c>
      <x:c r="M201" s="66" t="n">
        <x:v>120</x:v>
      </x:c>
      <x:c r="N201" s="66" t="n">
        <x:v>240</x:v>
      </x:c>
      <x:c r="O201" s="54" t="n">
        <x:v>320</x:v>
      </x:c>
      <x:c r="P201" s="62" t="n">
        <x:v>0.1</x:v>
      </x:c>
      <x:c r="Q201" s="62" t="n">
        <x:v>0.25</x:v>
      </x:c>
      <x:c r="R201" s="54"/>
      <x:c r="S201" s="62" t="n">
        <x:v>1.204</x:v>
      </x:c>
      <x:c r="T201" s="54" t="n">
        <x:v>343.2</x:v>
      </x:c>
      <x:c r="U201" s="86" t="n">
        <x:f>IF(OR(S201="",T201=""),"",S201*T201)</x:f>
        <x:v>413.21279999999996</x:v>
      </x:c>
      <x:c r="V201" s="46" t="str">
        <x:v>DÜŞÜK</x:v>
      </x:c>
      <x:c r="W201" s="46" t="str"/>
      <x:c r="X201" s="50" t="str">
        <x:v>Mikroyapı ve sıkıştırma bilinmeden yalnız yoğunlukla güvenilir akustik karakterizasyon yapılamaz.</x:v>
      </x:c>
    </x:row>
    <x:row r="202">
      <x:c r="A202" s="46" t="str">
        <x:v>POLYESTER-D80-T50</x:v>
      </x:c>
      <x:c r="B202" s="46" t="str">
        <x:v>Diğer gözenekli emici</x:v>
      </x:c>
      <x:c r="C202" s="46" t="str">
        <x:v>Polyester lif keçe</x:v>
      </x:c>
      <x:c r="D202" s="46" t="str">
        <x:v>GENERIC</x:v>
      </x:c>
      <x:c r="E202" s="46" t="str">
        <x:v>POLYESTER</x:v>
      </x:c>
      <x:c r="F202" s="70" t="str">
        <x:v>JCA_STARTING_ESTIMATE</x:v>
      </x:c>
      <x:c r="G202" s="54" t="n">
        <x:v>50</x:v>
      </x:c>
      <x:c r="H202" s="54" t="n">
        <x:v>80</x:v>
      </x:c>
      <x:c r="I202" s="66" t="n">
        <x:v>22000</x:v>
      </x:c>
      <x:c r="J202" s="76" t="n">
        <x:f>IF(OR(G202="",I202=""),"",I202*G202/1000)</x:f>
        <x:v>1100</x:v>
      </x:c>
      <x:c r="K202" s="62" t="n">
        <x:v>0.98</x:v>
      </x:c>
      <x:c r="L202" s="62" t="n">
        <x:v>1.05</x:v>
      </x:c>
      <x:c r="M202" s="66" t="n">
        <x:v>120</x:v>
      </x:c>
      <x:c r="N202" s="66" t="n">
        <x:v>240</x:v>
      </x:c>
      <x:c r="O202" s="54" t="n">
        <x:v>320</x:v>
      </x:c>
      <x:c r="P202" s="62" t="n">
        <x:v>0.1</x:v>
      </x:c>
      <x:c r="Q202" s="62" t="n">
        <x:v>0.25</x:v>
      </x:c>
      <x:c r="R202" s="54"/>
      <x:c r="S202" s="62" t="n">
        <x:v>1.204</x:v>
      </x:c>
      <x:c r="T202" s="54" t="n">
        <x:v>343.2</x:v>
      </x:c>
      <x:c r="U202" s="86" t="n">
        <x:f>IF(OR(S202="",T202=""),"",S202*T202)</x:f>
        <x:v>413.21279999999996</x:v>
      </x:c>
      <x:c r="V202" s="46" t="str">
        <x:v>DÜŞÜK</x:v>
      </x:c>
      <x:c r="W202" s="46" t="str"/>
      <x:c r="X202" s="50" t="str">
        <x:v>Mikroyapı ve sıkıştırma bilinmeden yalnız yoğunlukla güvenilir akustik karakterizasyon yapılamaz.</x:v>
      </x:c>
    </x:row>
    <x:row r="203">
      <x:c r="A203" s="46" t="str">
        <x:v>POLYESTER-D80-T75</x:v>
      </x:c>
      <x:c r="B203" s="46" t="str">
        <x:v>Diğer gözenekli emici</x:v>
      </x:c>
      <x:c r="C203" s="46" t="str">
        <x:v>Polyester lif keçe</x:v>
      </x:c>
      <x:c r="D203" s="46" t="str">
        <x:v>GENERIC</x:v>
      </x:c>
      <x:c r="E203" s="46" t="str">
        <x:v>POLYESTER</x:v>
      </x:c>
      <x:c r="F203" s="70" t="str">
        <x:v>JCA_STARTING_ESTIMATE</x:v>
      </x:c>
      <x:c r="G203" s="54" t="n">
        <x:v>75</x:v>
      </x:c>
      <x:c r="H203" s="54" t="n">
        <x:v>80</x:v>
      </x:c>
      <x:c r="I203" s="66" t="n">
        <x:v>22000</x:v>
      </x:c>
      <x:c r="J203" s="76" t="n">
        <x:f>IF(OR(G203="",I203=""),"",I203*G203/1000)</x:f>
        <x:v>1650</x:v>
      </x:c>
      <x:c r="K203" s="62" t="n">
        <x:v>0.98</x:v>
      </x:c>
      <x:c r="L203" s="62" t="n">
        <x:v>1.05</x:v>
      </x:c>
      <x:c r="M203" s="66" t="n">
        <x:v>120</x:v>
      </x:c>
      <x:c r="N203" s="66" t="n">
        <x:v>240</x:v>
      </x:c>
      <x:c r="O203" s="54" t="n">
        <x:v>320</x:v>
      </x:c>
      <x:c r="P203" s="62" t="n">
        <x:v>0.1</x:v>
      </x:c>
      <x:c r="Q203" s="62" t="n">
        <x:v>0.25</x:v>
      </x:c>
      <x:c r="R203" s="54"/>
      <x:c r="S203" s="62" t="n">
        <x:v>1.204</x:v>
      </x:c>
      <x:c r="T203" s="54" t="n">
        <x:v>343.2</x:v>
      </x:c>
      <x:c r="U203" s="86" t="n">
        <x:f>IF(OR(S203="",T203=""),"",S203*T203)</x:f>
        <x:v>413.21279999999996</x:v>
      </x:c>
      <x:c r="V203" s="46" t="str">
        <x:v>DÜŞÜK</x:v>
      </x:c>
      <x:c r="W203" s="46" t="str"/>
      <x:c r="X203" s="50" t="str">
        <x:v>Mikroyapı ve sıkıştırma bilinmeden yalnız yoğunlukla güvenilir akustik karakterizasyon yapılamaz.</x:v>
      </x:c>
    </x:row>
    <x:row r="204">
      <x:c r="A204" s="46" t="str">
        <x:v>POLYESTER-D80-T100</x:v>
      </x:c>
      <x:c r="B204" s="46" t="str">
        <x:v>Diğer gözenekli emici</x:v>
      </x:c>
      <x:c r="C204" s="46" t="str">
        <x:v>Polyester lif keçe</x:v>
      </x:c>
      <x:c r="D204" s="46" t="str">
        <x:v>GENERIC</x:v>
      </x:c>
      <x:c r="E204" s="46" t="str">
        <x:v>POLYESTER</x:v>
      </x:c>
      <x:c r="F204" s="70" t="str">
        <x:v>JCA_STARTING_ESTIMATE</x:v>
      </x:c>
      <x:c r="G204" s="54" t="n">
        <x:v>100</x:v>
      </x:c>
      <x:c r="H204" s="54" t="n">
        <x:v>80</x:v>
      </x:c>
      <x:c r="I204" s="66" t="n">
        <x:v>22000</x:v>
      </x:c>
      <x:c r="J204" s="76" t="n">
        <x:f>IF(OR(G204="",I204=""),"",I204*G204/1000)</x:f>
        <x:v>2200</x:v>
      </x:c>
      <x:c r="K204" s="62" t="n">
        <x:v>0.98</x:v>
      </x:c>
      <x:c r="L204" s="62" t="n">
        <x:v>1.05</x:v>
      </x:c>
      <x:c r="M204" s="66" t="n">
        <x:v>120</x:v>
      </x:c>
      <x:c r="N204" s="66" t="n">
        <x:v>240</x:v>
      </x:c>
      <x:c r="O204" s="54" t="n">
        <x:v>320</x:v>
      </x:c>
      <x:c r="P204" s="62" t="n">
        <x:v>0.1</x:v>
      </x:c>
      <x:c r="Q204" s="62" t="n">
        <x:v>0.25</x:v>
      </x:c>
      <x:c r="R204" s="54"/>
      <x:c r="S204" s="62" t="n">
        <x:v>1.204</x:v>
      </x:c>
      <x:c r="T204" s="54" t="n">
        <x:v>343.2</x:v>
      </x:c>
      <x:c r="U204" s="86" t="n">
        <x:f>IF(OR(S204="",T204=""),"",S204*T204)</x:f>
        <x:v>413.21279999999996</x:v>
      </x:c>
      <x:c r="V204" s="46" t="str">
        <x:v>DÜŞÜK</x:v>
      </x:c>
      <x:c r="W204" s="46" t="str"/>
      <x:c r="X204" s="50" t="str">
        <x:v>Mikroyapı ve sıkıştırma bilinmeden yalnız yoğunlukla güvenilir akustik karakterizasyon yapılamaz.</x:v>
      </x:c>
    </x:row>
    <x:row r="205">
      <x:c r="A205" s="46" t="str">
        <x:v>POLYESTER-D100-T25</x:v>
      </x:c>
      <x:c r="B205" s="46" t="str">
        <x:v>Diğer gözenekli emici</x:v>
      </x:c>
      <x:c r="C205" s="46" t="str">
        <x:v>Polyester lif keçe</x:v>
      </x:c>
      <x:c r="D205" s="46" t="str">
        <x:v>GENERIC</x:v>
      </x:c>
      <x:c r="E205" s="46" t="str">
        <x:v>POLYESTER</x:v>
      </x:c>
      <x:c r="F205" s="70" t="str">
        <x:v>JCA_STARTING_ESTIMATE</x:v>
      </x:c>
      <x:c r="G205" s="54" t="n">
        <x:v>25</x:v>
      </x:c>
      <x:c r="H205" s="54" t="n">
        <x:v>100</x:v>
      </x:c>
      <x:c r="I205" s="66" t="n">
        <x:v>30000</x:v>
      </x:c>
      <x:c r="J205" s="76" t="n">
        <x:f>IF(OR(G205="",I205=""),"",I205*G205/1000)</x:f>
        <x:v>750</x:v>
      </x:c>
      <x:c r="K205" s="62" t="n">
        <x:v>0.98</x:v>
      </x:c>
      <x:c r="L205" s="62" t="n">
        <x:v>1.05</x:v>
      </x:c>
      <x:c r="M205" s="66" t="n">
        <x:v>120</x:v>
      </x:c>
      <x:c r="N205" s="66" t="n">
        <x:v>240</x:v>
      </x:c>
      <x:c r="O205" s="54" t="n">
        <x:v>400</x:v>
      </x:c>
      <x:c r="P205" s="62" t="n">
        <x:v>0.1</x:v>
      </x:c>
      <x:c r="Q205" s="62" t="n">
        <x:v>0.25</x:v>
      </x:c>
      <x:c r="R205" s="54"/>
      <x:c r="S205" s="62" t="n">
        <x:v>1.204</x:v>
      </x:c>
      <x:c r="T205" s="54" t="n">
        <x:v>343.2</x:v>
      </x:c>
      <x:c r="U205" s="86" t="n">
        <x:f>IF(OR(S205="",T205=""),"",S205*T205)</x:f>
        <x:v>413.21279999999996</x:v>
      </x:c>
      <x:c r="V205" s="46" t="str">
        <x:v>DÜŞÜK</x:v>
      </x:c>
      <x:c r="W205" s="46" t="str"/>
      <x:c r="X205" s="50" t="str">
        <x:v>Mikroyapı ve sıkıştırma bilinmeden yalnız yoğunlukla güvenilir akustik karakterizasyon yapılamaz.</x:v>
      </x:c>
    </x:row>
    <x:row r="206">
      <x:c r="A206" s="46" t="str">
        <x:v>POLYESTER-D100-T50</x:v>
      </x:c>
      <x:c r="B206" s="46" t="str">
        <x:v>Diğer gözenekli emici</x:v>
      </x:c>
      <x:c r="C206" s="46" t="str">
        <x:v>Polyester lif keçe</x:v>
      </x:c>
      <x:c r="D206" s="46" t="str">
        <x:v>GENERIC</x:v>
      </x:c>
      <x:c r="E206" s="46" t="str">
        <x:v>POLYESTER</x:v>
      </x:c>
      <x:c r="F206" s="70" t="str">
        <x:v>JCA_STARTING_ESTIMATE</x:v>
      </x:c>
      <x:c r="G206" s="54" t="n">
        <x:v>50</x:v>
      </x:c>
      <x:c r="H206" s="54" t="n">
        <x:v>100</x:v>
      </x:c>
      <x:c r="I206" s="66" t="n">
        <x:v>30000</x:v>
      </x:c>
      <x:c r="J206" s="76" t="n">
        <x:f>IF(OR(G206="",I206=""),"",I206*G206/1000)</x:f>
        <x:v>1500</x:v>
      </x:c>
      <x:c r="K206" s="62" t="n">
        <x:v>0.98</x:v>
      </x:c>
      <x:c r="L206" s="62" t="n">
        <x:v>1.05</x:v>
      </x:c>
      <x:c r="M206" s="66" t="n">
        <x:v>120</x:v>
      </x:c>
      <x:c r="N206" s="66" t="n">
        <x:v>240</x:v>
      </x:c>
      <x:c r="O206" s="54" t="n">
        <x:v>400</x:v>
      </x:c>
      <x:c r="P206" s="62" t="n">
        <x:v>0.1</x:v>
      </x:c>
      <x:c r="Q206" s="62" t="n">
        <x:v>0.25</x:v>
      </x:c>
      <x:c r="R206" s="54"/>
      <x:c r="S206" s="62" t="n">
        <x:v>1.204</x:v>
      </x:c>
      <x:c r="T206" s="54" t="n">
        <x:v>343.2</x:v>
      </x:c>
      <x:c r="U206" s="86" t="n">
        <x:f>IF(OR(S206="",T206=""),"",S206*T206)</x:f>
        <x:v>413.21279999999996</x:v>
      </x:c>
      <x:c r="V206" s="46" t="str">
        <x:v>DÜŞÜK</x:v>
      </x:c>
      <x:c r="W206" s="46" t="str"/>
      <x:c r="X206" s="50" t="str">
        <x:v>Mikroyapı ve sıkıştırma bilinmeden yalnız yoğunlukla güvenilir akustik karakterizasyon yapılamaz.</x:v>
      </x:c>
    </x:row>
    <x:row r="207">
      <x:c r="A207" s="46" t="str">
        <x:v>POLYESTER-D100-T75</x:v>
      </x:c>
      <x:c r="B207" s="46" t="str">
        <x:v>Diğer gözenekli emici</x:v>
      </x:c>
      <x:c r="C207" s="46" t="str">
        <x:v>Polyester lif keçe</x:v>
      </x:c>
      <x:c r="D207" s="46" t="str">
        <x:v>GENERIC</x:v>
      </x:c>
      <x:c r="E207" s="46" t="str">
        <x:v>POLYESTER</x:v>
      </x:c>
      <x:c r="F207" s="70" t="str">
        <x:v>JCA_STARTING_ESTIMATE</x:v>
      </x:c>
      <x:c r="G207" s="54" t="n">
        <x:v>75</x:v>
      </x:c>
      <x:c r="H207" s="54" t="n">
        <x:v>100</x:v>
      </x:c>
      <x:c r="I207" s="66" t="n">
        <x:v>30000</x:v>
      </x:c>
      <x:c r="J207" s="76" t="n">
        <x:f>IF(OR(G207="",I207=""),"",I207*G207/1000)</x:f>
        <x:v>2250</x:v>
      </x:c>
      <x:c r="K207" s="62" t="n">
        <x:v>0.98</x:v>
      </x:c>
      <x:c r="L207" s="62" t="n">
        <x:v>1.05</x:v>
      </x:c>
      <x:c r="M207" s="66" t="n">
        <x:v>120</x:v>
      </x:c>
      <x:c r="N207" s="66" t="n">
        <x:v>240</x:v>
      </x:c>
      <x:c r="O207" s="54" t="n">
        <x:v>400</x:v>
      </x:c>
      <x:c r="P207" s="62" t="n">
        <x:v>0.1</x:v>
      </x:c>
      <x:c r="Q207" s="62" t="n">
        <x:v>0.25</x:v>
      </x:c>
      <x:c r="R207" s="54"/>
      <x:c r="S207" s="62" t="n">
        <x:v>1.204</x:v>
      </x:c>
      <x:c r="T207" s="54" t="n">
        <x:v>343.2</x:v>
      </x:c>
      <x:c r="U207" s="86" t="n">
        <x:f>IF(OR(S207="",T207=""),"",S207*T207)</x:f>
        <x:v>413.21279999999996</x:v>
      </x:c>
      <x:c r="V207" s="46" t="str">
        <x:v>DÜŞÜK</x:v>
      </x:c>
      <x:c r="W207" s="46" t="str"/>
      <x:c r="X207" s="50" t="str">
        <x:v>Mikroyapı ve sıkıştırma bilinmeden yalnız yoğunlukla güvenilir akustik karakterizasyon yapılamaz.</x:v>
      </x:c>
    </x:row>
    <x:row r="208">
      <x:c r="A208" s="46" t="str">
        <x:v>POLYESTER-D100-T100</x:v>
      </x:c>
      <x:c r="B208" s="46" t="str">
        <x:v>Diğer gözenekli emici</x:v>
      </x:c>
      <x:c r="C208" s="46" t="str">
        <x:v>Polyester lif keçe</x:v>
      </x:c>
      <x:c r="D208" s="46" t="str">
        <x:v>GENERIC</x:v>
      </x:c>
      <x:c r="E208" s="46" t="str">
        <x:v>POLYESTER</x:v>
      </x:c>
      <x:c r="F208" s="70" t="str">
        <x:v>JCA_STARTING_ESTIMATE</x:v>
      </x:c>
      <x:c r="G208" s="54" t="n">
        <x:v>100</x:v>
      </x:c>
      <x:c r="H208" s="54" t="n">
        <x:v>100</x:v>
      </x:c>
      <x:c r="I208" s="66" t="n">
        <x:v>30000</x:v>
      </x:c>
      <x:c r="J208" s="76" t="n">
        <x:f>IF(OR(G208="",I208=""),"",I208*G208/1000)</x:f>
        <x:v>3000</x:v>
      </x:c>
      <x:c r="K208" s="62" t="n">
        <x:v>0.98</x:v>
      </x:c>
      <x:c r="L208" s="62" t="n">
        <x:v>1.05</x:v>
      </x:c>
      <x:c r="M208" s="66" t="n">
        <x:v>120</x:v>
      </x:c>
      <x:c r="N208" s="66" t="n">
        <x:v>240</x:v>
      </x:c>
      <x:c r="O208" s="54" t="n">
        <x:v>400</x:v>
      </x:c>
      <x:c r="P208" s="62" t="n">
        <x:v>0.1</x:v>
      </x:c>
      <x:c r="Q208" s="62" t="n">
        <x:v>0.25</x:v>
      </x:c>
      <x:c r="R208" s="54"/>
      <x:c r="S208" s="62" t="n">
        <x:v>1.204</x:v>
      </x:c>
      <x:c r="T208" s="54" t="n">
        <x:v>343.2</x:v>
      </x:c>
      <x:c r="U208" s="86" t="n">
        <x:f>IF(OR(S208="",T208=""),"",S208*T208)</x:f>
        <x:v>413.21279999999996</x:v>
      </x:c>
      <x:c r="V208" s="46" t="str">
        <x:v>DÜŞÜK</x:v>
      </x:c>
      <x:c r="W208" s="46" t="str"/>
      <x:c r="X208" s="50" t="str">
        <x:v>Mikroyapı ve sıkıştırma bilinmeden yalnız yoğunlukla güvenilir akustik karakterizasyon yapılamaz.</x:v>
      </x:c>
    </x:row>
    <x:row r="209">
      <x:c r="A209" s="46" t="str">
        <x:v>COTTON-D25-T25</x:v>
      </x:c>
      <x:c r="B209" s="46" t="str">
        <x:v>Diğer gözenekli emici</x:v>
      </x:c>
      <x:c r="C209" s="46" t="str">
        <x:v>Geri dönüştürülmüş pamuk keçe</x:v>
      </x:c>
      <x:c r="D209" s="46" t="str">
        <x:v>GENERIC</x:v>
      </x:c>
      <x:c r="E209" s="46" t="str">
        <x:v>COTTON</x:v>
      </x:c>
      <x:c r="F209" s="70" t="str">
        <x:v>JCA_STARTING_ESTIMATE</x:v>
      </x:c>
      <x:c r="G209" s="54" t="n">
        <x:v>25</x:v>
      </x:c>
      <x:c r="H209" s="54" t="n">
        <x:v>25</x:v>
      </x:c>
      <x:c r="I209" s="66" t="n">
        <x:v>5000</x:v>
      </x:c>
      <x:c r="J209" s="76" t="n">
        <x:f>IF(OR(G209="",I209=""),"",I209*G209/1000)</x:f>
        <x:v>125</x:v>
      </x:c>
      <x:c r="K209" s="62" t="n">
        <x:v>0.97</x:v>
      </x:c>
      <x:c r="L209" s="62" t="n">
        <x:v>1.08</x:v>
      </x:c>
      <x:c r="M209" s="66" t="n">
        <x:v>120</x:v>
      </x:c>
      <x:c r="N209" s="66" t="n">
        <x:v>240</x:v>
      </x:c>
      <x:c r="O209" s="54" t="n">
        <x:v>100</x:v>
      </x:c>
      <x:c r="P209" s="62" t="n">
        <x:v>0.1</x:v>
      </x:c>
      <x:c r="Q209" s="62" t="n">
        <x:v>0.25</x:v>
      </x:c>
      <x:c r="R209" s="54"/>
      <x:c r="S209" s="62" t="n">
        <x:v>1.204</x:v>
      </x:c>
      <x:c r="T209" s="54" t="n">
        <x:v>343.2</x:v>
      </x:c>
      <x:c r="U209" s="86" t="n">
        <x:f>IF(OR(S209="",T209=""),"",S209*T209)</x:f>
        <x:v>413.21279999999996</x:v>
      </x:c>
      <x:c r="V209" s="46" t="str">
        <x:v>DÜŞÜK</x:v>
      </x:c>
      <x:c r="W209" s="46" t="str"/>
      <x:c r="X209" s="50" t="str">
        <x:v>Mikroyapı ve sıkıştırma bilinmeden yalnız yoğunlukla güvenilir akustik karakterizasyon yapılamaz.</x:v>
      </x:c>
    </x:row>
    <x:row r="210">
      <x:c r="A210" s="46" t="str">
        <x:v>COTTON-D25-T50</x:v>
      </x:c>
      <x:c r="B210" s="46" t="str">
        <x:v>Diğer gözenekli emici</x:v>
      </x:c>
      <x:c r="C210" s="46" t="str">
        <x:v>Geri dönüştürülmüş pamuk keçe</x:v>
      </x:c>
      <x:c r="D210" s="46" t="str">
        <x:v>GENERIC</x:v>
      </x:c>
      <x:c r="E210" s="46" t="str">
        <x:v>COTTON</x:v>
      </x:c>
      <x:c r="F210" s="70" t="str">
        <x:v>JCA_STARTING_ESTIMATE</x:v>
      </x:c>
      <x:c r="G210" s="54" t="n">
        <x:v>50</x:v>
      </x:c>
      <x:c r="H210" s="54" t="n">
        <x:v>25</x:v>
      </x:c>
      <x:c r="I210" s="66" t="n">
        <x:v>5000</x:v>
      </x:c>
      <x:c r="J210" s="76" t="n">
        <x:f>IF(OR(G210="",I210=""),"",I210*G210/1000)</x:f>
        <x:v>250</x:v>
      </x:c>
      <x:c r="K210" s="62" t="n">
        <x:v>0.97</x:v>
      </x:c>
      <x:c r="L210" s="62" t="n">
        <x:v>1.08</x:v>
      </x:c>
      <x:c r="M210" s="66" t="n">
        <x:v>120</x:v>
      </x:c>
      <x:c r="N210" s="66" t="n">
        <x:v>240</x:v>
      </x:c>
      <x:c r="O210" s="54" t="n">
        <x:v>100</x:v>
      </x:c>
      <x:c r="P210" s="62" t="n">
        <x:v>0.1</x:v>
      </x:c>
      <x:c r="Q210" s="62" t="n">
        <x:v>0.25</x:v>
      </x:c>
      <x:c r="R210" s="54"/>
      <x:c r="S210" s="62" t="n">
        <x:v>1.204</x:v>
      </x:c>
      <x:c r="T210" s="54" t="n">
        <x:v>343.2</x:v>
      </x:c>
      <x:c r="U210" s="86" t="n">
        <x:f>IF(OR(S210="",T210=""),"",S210*T210)</x:f>
        <x:v>413.21279999999996</x:v>
      </x:c>
      <x:c r="V210" s="46" t="str">
        <x:v>DÜŞÜK</x:v>
      </x:c>
      <x:c r="W210" s="46" t="str"/>
      <x:c r="X210" s="50" t="str">
        <x:v>Mikroyapı ve sıkıştırma bilinmeden yalnız yoğunlukla güvenilir akustik karakterizasyon yapılamaz.</x:v>
      </x:c>
    </x:row>
    <x:row r="211">
      <x:c r="A211" s="46" t="str">
        <x:v>COTTON-D25-T75</x:v>
      </x:c>
      <x:c r="B211" s="46" t="str">
        <x:v>Diğer gözenekli emici</x:v>
      </x:c>
      <x:c r="C211" s="46" t="str">
        <x:v>Geri dönüştürülmüş pamuk keçe</x:v>
      </x:c>
      <x:c r="D211" s="46" t="str">
        <x:v>GENERIC</x:v>
      </x:c>
      <x:c r="E211" s="46" t="str">
        <x:v>COTTON</x:v>
      </x:c>
      <x:c r="F211" s="70" t="str">
        <x:v>JCA_STARTING_ESTIMATE</x:v>
      </x:c>
      <x:c r="G211" s="54" t="n">
        <x:v>75</x:v>
      </x:c>
      <x:c r="H211" s="54" t="n">
        <x:v>25</x:v>
      </x:c>
      <x:c r="I211" s="66" t="n">
        <x:v>5000</x:v>
      </x:c>
      <x:c r="J211" s="76" t="n">
        <x:f>IF(OR(G211="",I211=""),"",I211*G211/1000)</x:f>
        <x:v>375</x:v>
      </x:c>
      <x:c r="K211" s="62" t="n">
        <x:v>0.97</x:v>
      </x:c>
      <x:c r="L211" s="62" t="n">
        <x:v>1.08</x:v>
      </x:c>
      <x:c r="M211" s="66" t="n">
        <x:v>120</x:v>
      </x:c>
      <x:c r="N211" s="66" t="n">
        <x:v>240</x:v>
      </x:c>
      <x:c r="O211" s="54" t="n">
        <x:v>100</x:v>
      </x:c>
      <x:c r="P211" s="62" t="n">
        <x:v>0.1</x:v>
      </x:c>
      <x:c r="Q211" s="62" t="n">
        <x:v>0.25</x:v>
      </x:c>
      <x:c r="R211" s="54"/>
      <x:c r="S211" s="62" t="n">
        <x:v>1.204</x:v>
      </x:c>
      <x:c r="T211" s="54" t="n">
        <x:v>343.2</x:v>
      </x:c>
      <x:c r="U211" s="86" t="n">
        <x:f>IF(OR(S211="",T211=""),"",S211*T211)</x:f>
        <x:v>413.21279999999996</x:v>
      </x:c>
      <x:c r="V211" s="46" t="str">
        <x:v>DÜŞÜK</x:v>
      </x:c>
      <x:c r="W211" s="46" t="str"/>
      <x:c r="X211" s="50" t="str">
        <x:v>Mikroyapı ve sıkıştırma bilinmeden yalnız yoğunlukla güvenilir akustik karakterizasyon yapılamaz.</x:v>
      </x:c>
    </x:row>
    <x:row r="212">
      <x:c r="A212" s="46" t="str">
        <x:v>COTTON-D25-T100</x:v>
      </x:c>
      <x:c r="B212" s="46" t="str">
        <x:v>Diğer gözenekli emici</x:v>
      </x:c>
      <x:c r="C212" s="46" t="str">
        <x:v>Geri dönüştürülmüş pamuk keçe</x:v>
      </x:c>
      <x:c r="D212" s="46" t="str">
        <x:v>GENERIC</x:v>
      </x:c>
      <x:c r="E212" s="46" t="str">
        <x:v>COTTON</x:v>
      </x:c>
      <x:c r="F212" s="70" t="str">
        <x:v>JCA_STARTING_ESTIMATE</x:v>
      </x:c>
      <x:c r="G212" s="54" t="n">
        <x:v>100</x:v>
      </x:c>
      <x:c r="H212" s="54" t="n">
        <x:v>25</x:v>
      </x:c>
      <x:c r="I212" s="66" t="n">
        <x:v>5000</x:v>
      </x:c>
      <x:c r="J212" s="76" t="n">
        <x:f>IF(OR(G212="",I212=""),"",I212*G212/1000)</x:f>
        <x:v>500</x:v>
      </x:c>
      <x:c r="K212" s="62" t="n">
        <x:v>0.97</x:v>
      </x:c>
      <x:c r="L212" s="62" t="n">
        <x:v>1.08</x:v>
      </x:c>
      <x:c r="M212" s="66" t="n">
        <x:v>120</x:v>
      </x:c>
      <x:c r="N212" s="66" t="n">
        <x:v>240</x:v>
      </x:c>
      <x:c r="O212" s="54" t="n">
        <x:v>100</x:v>
      </x:c>
      <x:c r="P212" s="62" t="n">
        <x:v>0.1</x:v>
      </x:c>
      <x:c r="Q212" s="62" t="n">
        <x:v>0.25</x:v>
      </x:c>
      <x:c r="R212" s="54"/>
      <x:c r="S212" s="62" t="n">
        <x:v>1.204</x:v>
      </x:c>
      <x:c r="T212" s="54" t="n">
        <x:v>343.2</x:v>
      </x:c>
      <x:c r="U212" s="86" t="n">
        <x:f>IF(OR(S212="",T212=""),"",S212*T212)</x:f>
        <x:v>413.21279999999996</x:v>
      </x:c>
      <x:c r="V212" s="46" t="str">
        <x:v>DÜŞÜK</x:v>
      </x:c>
      <x:c r="W212" s="46" t="str"/>
      <x:c r="X212" s="50" t="str">
        <x:v>Mikroyapı ve sıkıştırma bilinmeden yalnız yoğunlukla güvenilir akustik karakterizasyon yapılamaz.</x:v>
      </x:c>
    </x:row>
    <x:row r="213">
      <x:c r="A213" s="46" t="str">
        <x:v>COTTON-D40-T25</x:v>
      </x:c>
      <x:c r="B213" s="46" t="str">
        <x:v>Diğer gözenekli emici</x:v>
      </x:c>
      <x:c r="C213" s="46" t="str">
        <x:v>Geri dönüştürülmüş pamuk keçe</x:v>
      </x:c>
      <x:c r="D213" s="46" t="str">
        <x:v>GENERIC</x:v>
      </x:c>
      <x:c r="E213" s="46" t="str">
        <x:v>COTTON</x:v>
      </x:c>
      <x:c r="F213" s="70" t="str">
        <x:v>JCA_STARTING_ESTIMATE</x:v>
      </x:c>
      <x:c r="G213" s="54" t="n">
        <x:v>25</x:v>
      </x:c>
      <x:c r="H213" s="54" t="n">
        <x:v>40</x:v>
      </x:c>
      <x:c r="I213" s="66" t="n">
        <x:v>9000</x:v>
      </x:c>
      <x:c r="J213" s="76" t="n">
        <x:f>IF(OR(G213="",I213=""),"",I213*G213/1000)</x:f>
        <x:v>225</x:v>
      </x:c>
      <x:c r="K213" s="62" t="n">
        <x:v>0.97</x:v>
      </x:c>
      <x:c r="L213" s="62" t="n">
        <x:v>1.08</x:v>
      </x:c>
      <x:c r="M213" s="66" t="n">
        <x:v>120</x:v>
      </x:c>
      <x:c r="N213" s="66" t="n">
        <x:v>240</x:v>
      </x:c>
      <x:c r="O213" s="54" t="n">
        <x:v>160</x:v>
      </x:c>
      <x:c r="P213" s="62" t="n">
        <x:v>0.1</x:v>
      </x:c>
      <x:c r="Q213" s="62" t="n">
        <x:v>0.25</x:v>
      </x:c>
      <x:c r="R213" s="54"/>
      <x:c r="S213" s="62" t="n">
        <x:v>1.204</x:v>
      </x:c>
      <x:c r="T213" s="54" t="n">
        <x:v>343.2</x:v>
      </x:c>
      <x:c r="U213" s="86" t="n">
        <x:f>IF(OR(S213="",T213=""),"",S213*T213)</x:f>
        <x:v>413.21279999999996</x:v>
      </x:c>
      <x:c r="V213" s="46" t="str">
        <x:v>DÜŞÜK</x:v>
      </x:c>
      <x:c r="W213" s="46" t="str"/>
      <x:c r="X213" s="50" t="str">
        <x:v>Mikroyapı ve sıkıştırma bilinmeden yalnız yoğunlukla güvenilir akustik karakterizasyon yapılamaz.</x:v>
      </x:c>
    </x:row>
    <x:row r="214">
      <x:c r="A214" s="46" t="str">
        <x:v>COTTON-D40-T50</x:v>
      </x:c>
      <x:c r="B214" s="46" t="str">
        <x:v>Diğer gözenekli emici</x:v>
      </x:c>
      <x:c r="C214" s="46" t="str">
        <x:v>Geri dönüştürülmüş pamuk keçe</x:v>
      </x:c>
      <x:c r="D214" s="46" t="str">
        <x:v>GENERIC</x:v>
      </x:c>
      <x:c r="E214" s="46" t="str">
        <x:v>COTTON</x:v>
      </x:c>
      <x:c r="F214" s="70" t="str">
        <x:v>JCA_STARTING_ESTIMATE</x:v>
      </x:c>
      <x:c r="G214" s="54" t="n">
        <x:v>50</x:v>
      </x:c>
      <x:c r="H214" s="54" t="n">
        <x:v>40</x:v>
      </x:c>
      <x:c r="I214" s="66" t="n">
        <x:v>9000</x:v>
      </x:c>
      <x:c r="J214" s="76" t="n">
        <x:f>IF(OR(G214="",I214=""),"",I214*G214/1000)</x:f>
        <x:v>450</x:v>
      </x:c>
      <x:c r="K214" s="62" t="n">
        <x:v>0.97</x:v>
      </x:c>
      <x:c r="L214" s="62" t="n">
        <x:v>1.08</x:v>
      </x:c>
      <x:c r="M214" s="66" t="n">
        <x:v>120</x:v>
      </x:c>
      <x:c r="N214" s="66" t="n">
        <x:v>240</x:v>
      </x:c>
      <x:c r="O214" s="54" t="n">
        <x:v>160</x:v>
      </x:c>
      <x:c r="P214" s="62" t="n">
        <x:v>0.1</x:v>
      </x:c>
      <x:c r="Q214" s="62" t="n">
        <x:v>0.25</x:v>
      </x:c>
      <x:c r="R214" s="54"/>
      <x:c r="S214" s="62" t="n">
        <x:v>1.204</x:v>
      </x:c>
      <x:c r="T214" s="54" t="n">
        <x:v>343.2</x:v>
      </x:c>
      <x:c r="U214" s="86" t="n">
        <x:f>IF(OR(S214="",T214=""),"",S214*T214)</x:f>
        <x:v>413.21279999999996</x:v>
      </x:c>
      <x:c r="V214" s="46" t="str">
        <x:v>DÜŞÜK</x:v>
      </x:c>
      <x:c r="W214" s="46" t="str"/>
      <x:c r="X214" s="50" t="str">
        <x:v>Mikroyapı ve sıkıştırma bilinmeden yalnız yoğunlukla güvenilir akustik karakterizasyon yapılamaz.</x:v>
      </x:c>
    </x:row>
    <x:row r="215">
      <x:c r="A215" s="46" t="str">
        <x:v>COTTON-D40-T75</x:v>
      </x:c>
      <x:c r="B215" s="46" t="str">
        <x:v>Diğer gözenekli emici</x:v>
      </x:c>
      <x:c r="C215" s="46" t="str">
        <x:v>Geri dönüştürülmüş pamuk keçe</x:v>
      </x:c>
      <x:c r="D215" s="46" t="str">
        <x:v>GENERIC</x:v>
      </x:c>
      <x:c r="E215" s="46" t="str">
        <x:v>COTTON</x:v>
      </x:c>
      <x:c r="F215" s="70" t="str">
        <x:v>JCA_STARTING_ESTIMATE</x:v>
      </x:c>
      <x:c r="G215" s="54" t="n">
        <x:v>75</x:v>
      </x:c>
      <x:c r="H215" s="54" t="n">
        <x:v>40</x:v>
      </x:c>
      <x:c r="I215" s="66" t="n">
        <x:v>9000</x:v>
      </x:c>
      <x:c r="J215" s="76" t="n">
        <x:f>IF(OR(G215="",I215=""),"",I215*G215/1000)</x:f>
        <x:v>675</x:v>
      </x:c>
      <x:c r="K215" s="62" t="n">
        <x:v>0.97</x:v>
      </x:c>
      <x:c r="L215" s="62" t="n">
        <x:v>1.08</x:v>
      </x:c>
      <x:c r="M215" s="66" t="n">
        <x:v>120</x:v>
      </x:c>
      <x:c r="N215" s="66" t="n">
        <x:v>240</x:v>
      </x:c>
      <x:c r="O215" s="54" t="n">
        <x:v>160</x:v>
      </x:c>
      <x:c r="P215" s="62" t="n">
        <x:v>0.1</x:v>
      </x:c>
      <x:c r="Q215" s="62" t="n">
        <x:v>0.25</x:v>
      </x:c>
      <x:c r="R215" s="54"/>
      <x:c r="S215" s="62" t="n">
        <x:v>1.204</x:v>
      </x:c>
      <x:c r="T215" s="54" t="n">
        <x:v>343.2</x:v>
      </x:c>
      <x:c r="U215" s="86" t="n">
        <x:f>IF(OR(S215="",T215=""),"",S215*T215)</x:f>
        <x:v>413.21279999999996</x:v>
      </x:c>
      <x:c r="V215" s="46" t="str">
        <x:v>DÜŞÜK</x:v>
      </x:c>
      <x:c r="W215" s="46" t="str"/>
      <x:c r="X215" s="50" t="str">
        <x:v>Mikroyapı ve sıkıştırma bilinmeden yalnız yoğunlukla güvenilir akustik karakterizasyon yapılamaz.</x:v>
      </x:c>
    </x:row>
    <x:row r="216">
      <x:c r="A216" s="46" t="str">
        <x:v>COTTON-D40-T100</x:v>
      </x:c>
      <x:c r="B216" s="46" t="str">
        <x:v>Diğer gözenekli emici</x:v>
      </x:c>
      <x:c r="C216" s="46" t="str">
        <x:v>Geri dönüştürülmüş pamuk keçe</x:v>
      </x:c>
      <x:c r="D216" s="46" t="str">
        <x:v>GENERIC</x:v>
      </x:c>
      <x:c r="E216" s="46" t="str">
        <x:v>COTTON</x:v>
      </x:c>
      <x:c r="F216" s="70" t="str">
        <x:v>JCA_STARTING_ESTIMATE</x:v>
      </x:c>
      <x:c r="G216" s="54" t="n">
        <x:v>100</x:v>
      </x:c>
      <x:c r="H216" s="54" t="n">
        <x:v>40</x:v>
      </x:c>
      <x:c r="I216" s="66" t="n">
        <x:v>9000</x:v>
      </x:c>
      <x:c r="J216" s="76" t="n">
        <x:f>IF(OR(G216="",I216=""),"",I216*G216/1000)</x:f>
        <x:v>900</x:v>
      </x:c>
      <x:c r="K216" s="62" t="n">
        <x:v>0.97</x:v>
      </x:c>
      <x:c r="L216" s="62" t="n">
        <x:v>1.08</x:v>
      </x:c>
      <x:c r="M216" s="66" t="n">
        <x:v>120</x:v>
      </x:c>
      <x:c r="N216" s="66" t="n">
        <x:v>240</x:v>
      </x:c>
      <x:c r="O216" s="54" t="n">
        <x:v>160</x:v>
      </x:c>
      <x:c r="P216" s="62" t="n">
        <x:v>0.1</x:v>
      </x:c>
      <x:c r="Q216" s="62" t="n">
        <x:v>0.25</x:v>
      </x:c>
      <x:c r="R216" s="54"/>
      <x:c r="S216" s="62" t="n">
        <x:v>1.204</x:v>
      </x:c>
      <x:c r="T216" s="54" t="n">
        <x:v>343.2</x:v>
      </x:c>
      <x:c r="U216" s="86" t="n">
        <x:f>IF(OR(S216="",T216=""),"",S216*T216)</x:f>
        <x:v>413.21279999999996</x:v>
      </x:c>
      <x:c r="V216" s="46" t="str">
        <x:v>DÜŞÜK</x:v>
      </x:c>
      <x:c r="W216" s="46" t="str"/>
      <x:c r="X216" s="50" t="str">
        <x:v>Mikroyapı ve sıkıştırma bilinmeden yalnız yoğunlukla güvenilir akustik karakterizasyon yapılamaz.</x:v>
      </x:c>
    </x:row>
    <x:row r="217">
      <x:c r="A217" s="46" t="str">
        <x:v>COTTON-D60-T25</x:v>
      </x:c>
      <x:c r="B217" s="46" t="str">
        <x:v>Diğer gözenekli emici</x:v>
      </x:c>
      <x:c r="C217" s="46" t="str">
        <x:v>Geri dönüştürülmüş pamuk keçe</x:v>
      </x:c>
      <x:c r="D217" s="46" t="str">
        <x:v>GENERIC</x:v>
      </x:c>
      <x:c r="E217" s="46" t="str">
        <x:v>COTTON</x:v>
      </x:c>
      <x:c r="F217" s="70" t="str">
        <x:v>JCA_STARTING_ESTIMATE</x:v>
      </x:c>
      <x:c r="G217" s="54" t="n">
        <x:v>25</x:v>
      </x:c>
      <x:c r="H217" s="54" t="n">
        <x:v>60</x:v>
      </x:c>
      <x:c r="I217" s="66" t="n">
        <x:v>16000</x:v>
      </x:c>
      <x:c r="J217" s="76" t="n">
        <x:f>IF(OR(G217="",I217=""),"",I217*G217/1000)</x:f>
        <x:v>400</x:v>
      </x:c>
      <x:c r="K217" s="62" t="n">
        <x:v>0.97</x:v>
      </x:c>
      <x:c r="L217" s="62" t="n">
        <x:v>1.08</x:v>
      </x:c>
      <x:c r="M217" s="66" t="n">
        <x:v>120</x:v>
      </x:c>
      <x:c r="N217" s="66" t="n">
        <x:v>240</x:v>
      </x:c>
      <x:c r="O217" s="54" t="n">
        <x:v>240</x:v>
      </x:c>
      <x:c r="P217" s="62" t="n">
        <x:v>0.1</x:v>
      </x:c>
      <x:c r="Q217" s="62" t="n">
        <x:v>0.25</x:v>
      </x:c>
      <x:c r="R217" s="54"/>
      <x:c r="S217" s="62" t="n">
        <x:v>1.204</x:v>
      </x:c>
      <x:c r="T217" s="54" t="n">
        <x:v>343.2</x:v>
      </x:c>
      <x:c r="U217" s="86" t="n">
        <x:f>IF(OR(S217="",T217=""),"",S217*T217)</x:f>
        <x:v>413.21279999999996</x:v>
      </x:c>
      <x:c r="V217" s="46" t="str">
        <x:v>DÜŞÜK</x:v>
      </x:c>
      <x:c r="W217" s="46" t="str"/>
      <x:c r="X217" s="50" t="str">
        <x:v>Mikroyapı ve sıkıştırma bilinmeden yalnız yoğunlukla güvenilir akustik karakterizasyon yapılamaz.</x:v>
      </x:c>
    </x:row>
    <x:row r="218">
      <x:c r="A218" s="46" t="str">
        <x:v>COTTON-D60-T50</x:v>
      </x:c>
      <x:c r="B218" s="46" t="str">
        <x:v>Diğer gözenekli emici</x:v>
      </x:c>
      <x:c r="C218" s="46" t="str">
        <x:v>Geri dönüştürülmüş pamuk keçe</x:v>
      </x:c>
      <x:c r="D218" s="46" t="str">
        <x:v>GENERIC</x:v>
      </x:c>
      <x:c r="E218" s="46" t="str">
        <x:v>COTTON</x:v>
      </x:c>
      <x:c r="F218" s="70" t="str">
        <x:v>JCA_STARTING_ESTIMATE</x:v>
      </x:c>
      <x:c r="G218" s="54" t="n">
        <x:v>50</x:v>
      </x:c>
      <x:c r="H218" s="54" t="n">
        <x:v>60</x:v>
      </x:c>
      <x:c r="I218" s="66" t="n">
        <x:v>16000</x:v>
      </x:c>
      <x:c r="J218" s="76" t="n">
        <x:f>IF(OR(G218="",I218=""),"",I218*G218/1000)</x:f>
        <x:v>800</x:v>
      </x:c>
      <x:c r="K218" s="62" t="n">
        <x:v>0.97</x:v>
      </x:c>
      <x:c r="L218" s="62" t="n">
        <x:v>1.08</x:v>
      </x:c>
      <x:c r="M218" s="66" t="n">
        <x:v>120</x:v>
      </x:c>
      <x:c r="N218" s="66" t="n">
        <x:v>240</x:v>
      </x:c>
      <x:c r="O218" s="54" t="n">
        <x:v>240</x:v>
      </x:c>
      <x:c r="P218" s="62" t="n">
        <x:v>0.1</x:v>
      </x:c>
      <x:c r="Q218" s="62" t="n">
        <x:v>0.25</x:v>
      </x:c>
      <x:c r="R218" s="54"/>
      <x:c r="S218" s="62" t="n">
        <x:v>1.204</x:v>
      </x:c>
      <x:c r="T218" s="54" t="n">
        <x:v>343.2</x:v>
      </x:c>
      <x:c r="U218" s="86" t="n">
        <x:f>IF(OR(S218="",T218=""),"",S218*T218)</x:f>
        <x:v>413.21279999999996</x:v>
      </x:c>
      <x:c r="V218" s="46" t="str">
        <x:v>DÜŞÜK</x:v>
      </x:c>
      <x:c r="W218" s="46" t="str"/>
      <x:c r="X218" s="50" t="str">
        <x:v>Mikroyapı ve sıkıştırma bilinmeden yalnız yoğunlukla güvenilir akustik karakterizasyon yapılamaz.</x:v>
      </x:c>
    </x:row>
    <x:row r="219">
      <x:c r="A219" s="46" t="str">
        <x:v>COTTON-D60-T75</x:v>
      </x:c>
      <x:c r="B219" s="46" t="str">
        <x:v>Diğer gözenekli emici</x:v>
      </x:c>
      <x:c r="C219" s="46" t="str">
        <x:v>Geri dönüştürülmüş pamuk keçe</x:v>
      </x:c>
      <x:c r="D219" s="46" t="str">
        <x:v>GENERIC</x:v>
      </x:c>
      <x:c r="E219" s="46" t="str">
        <x:v>COTTON</x:v>
      </x:c>
      <x:c r="F219" s="70" t="str">
        <x:v>JCA_STARTING_ESTIMATE</x:v>
      </x:c>
      <x:c r="G219" s="54" t="n">
        <x:v>75</x:v>
      </x:c>
      <x:c r="H219" s="54" t="n">
        <x:v>60</x:v>
      </x:c>
      <x:c r="I219" s="66" t="n">
        <x:v>16000</x:v>
      </x:c>
      <x:c r="J219" s="76" t="n">
        <x:f>IF(OR(G219="",I219=""),"",I219*G219/1000)</x:f>
        <x:v>1200</x:v>
      </x:c>
      <x:c r="K219" s="62" t="n">
        <x:v>0.97</x:v>
      </x:c>
      <x:c r="L219" s="62" t="n">
        <x:v>1.08</x:v>
      </x:c>
      <x:c r="M219" s="66" t="n">
        <x:v>120</x:v>
      </x:c>
      <x:c r="N219" s="66" t="n">
        <x:v>240</x:v>
      </x:c>
      <x:c r="O219" s="54" t="n">
        <x:v>240</x:v>
      </x:c>
      <x:c r="P219" s="62" t="n">
        <x:v>0.1</x:v>
      </x:c>
      <x:c r="Q219" s="62" t="n">
        <x:v>0.25</x:v>
      </x:c>
      <x:c r="R219" s="54"/>
      <x:c r="S219" s="62" t="n">
        <x:v>1.204</x:v>
      </x:c>
      <x:c r="T219" s="54" t="n">
        <x:v>343.2</x:v>
      </x:c>
      <x:c r="U219" s="86" t="n">
        <x:f>IF(OR(S219="",T219=""),"",S219*T219)</x:f>
        <x:v>413.21279999999996</x:v>
      </x:c>
      <x:c r="V219" s="46" t="str">
        <x:v>DÜŞÜK</x:v>
      </x:c>
      <x:c r="W219" s="46" t="str"/>
      <x:c r="X219" s="50" t="str">
        <x:v>Mikroyapı ve sıkıştırma bilinmeden yalnız yoğunlukla güvenilir akustik karakterizasyon yapılamaz.</x:v>
      </x:c>
    </x:row>
    <x:row r="220">
      <x:c r="A220" s="46" t="str">
        <x:v>COTTON-D60-T100</x:v>
      </x:c>
      <x:c r="B220" s="46" t="str">
        <x:v>Diğer gözenekli emici</x:v>
      </x:c>
      <x:c r="C220" s="46" t="str">
        <x:v>Geri dönüştürülmüş pamuk keçe</x:v>
      </x:c>
      <x:c r="D220" s="46" t="str">
        <x:v>GENERIC</x:v>
      </x:c>
      <x:c r="E220" s="46" t="str">
        <x:v>COTTON</x:v>
      </x:c>
      <x:c r="F220" s="70" t="str">
        <x:v>JCA_STARTING_ESTIMATE</x:v>
      </x:c>
      <x:c r="G220" s="54" t="n">
        <x:v>100</x:v>
      </x:c>
      <x:c r="H220" s="54" t="n">
        <x:v>60</x:v>
      </x:c>
      <x:c r="I220" s="66" t="n">
        <x:v>16000</x:v>
      </x:c>
      <x:c r="J220" s="76" t="n">
        <x:f>IF(OR(G220="",I220=""),"",I220*G220/1000)</x:f>
        <x:v>1600</x:v>
      </x:c>
      <x:c r="K220" s="62" t="n">
        <x:v>0.97</x:v>
      </x:c>
      <x:c r="L220" s="62" t="n">
        <x:v>1.08</x:v>
      </x:c>
      <x:c r="M220" s="66" t="n">
        <x:v>120</x:v>
      </x:c>
      <x:c r="N220" s="66" t="n">
        <x:v>240</x:v>
      </x:c>
      <x:c r="O220" s="54" t="n">
        <x:v>240</x:v>
      </x:c>
      <x:c r="P220" s="62" t="n">
        <x:v>0.1</x:v>
      </x:c>
      <x:c r="Q220" s="62" t="n">
        <x:v>0.25</x:v>
      </x:c>
      <x:c r="R220" s="54"/>
      <x:c r="S220" s="62" t="n">
        <x:v>1.204</x:v>
      </x:c>
      <x:c r="T220" s="54" t="n">
        <x:v>343.2</x:v>
      </x:c>
      <x:c r="U220" s="86" t="n">
        <x:f>IF(OR(S220="",T220=""),"",S220*T220)</x:f>
        <x:v>413.21279999999996</x:v>
      </x:c>
      <x:c r="V220" s="46" t="str">
        <x:v>DÜŞÜK</x:v>
      </x:c>
      <x:c r="W220" s="46" t="str"/>
      <x:c r="X220" s="50" t="str">
        <x:v>Mikroyapı ve sıkıştırma bilinmeden yalnız yoğunlukla güvenilir akustik karakterizasyon yapılamaz.</x:v>
      </x:c>
    </x:row>
    <x:row r="221">
      <x:c r="A221" s="46" t="str">
        <x:v>COTTON-D80-T25</x:v>
      </x:c>
      <x:c r="B221" s="46" t="str">
        <x:v>Diğer gözenekli emici</x:v>
      </x:c>
      <x:c r="C221" s="46" t="str">
        <x:v>Geri dönüştürülmüş pamuk keçe</x:v>
      </x:c>
      <x:c r="D221" s="46" t="str">
        <x:v>GENERIC</x:v>
      </x:c>
      <x:c r="E221" s="46" t="str">
        <x:v>COTTON</x:v>
      </x:c>
      <x:c r="F221" s="70" t="str">
        <x:v>JCA_STARTING_ESTIMATE</x:v>
      </x:c>
      <x:c r="G221" s="54" t="n">
        <x:v>25</x:v>
      </x:c>
      <x:c r="H221" s="54" t="n">
        <x:v>80</x:v>
      </x:c>
      <x:c r="I221" s="66" t="n">
        <x:v>25000</x:v>
      </x:c>
      <x:c r="J221" s="76" t="n">
        <x:f>IF(OR(G221="",I221=""),"",I221*G221/1000)</x:f>
        <x:v>625</x:v>
      </x:c>
      <x:c r="K221" s="62" t="n">
        <x:v>0.97</x:v>
      </x:c>
      <x:c r="L221" s="62" t="n">
        <x:v>1.08</x:v>
      </x:c>
      <x:c r="M221" s="66" t="n">
        <x:v>120</x:v>
      </x:c>
      <x:c r="N221" s="66" t="n">
        <x:v>240</x:v>
      </x:c>
      <x:c r="O221" s="54" t="n">
        <x:v>320</x:v>
      </x:c>
      <x:c r="P221" s="62" t="n">
        <x:v>0.1</x:v>
      </x:c>
      <x:c r="Q221" s="62" t="n">
        <x:v>0.25</x:v>
      </x:c>
      <x:c r="R221" s="54"/>
      <x:c r="S221" s="62" t="n">
        <x:v>1.204</x:v>
      </x:c>
      <x:c r="T221" s="54" t="n">
        <x:v>343.2</x:v>
      </x:c>
      <x:c r="U221" s="86" t="n">
        <x:f>IF(OR(S221="",T221=""),"",S221*T221)</x:f>
        <x:v>413.21279999999996</x:v>
      </x:c>
      <x:c r="V221" s="46" t="str">
        <x:v>DÜŞÜK</x:v>
      </x:c>
      <x:c r="W221" s="46" t="str"/>
      <x:c r="X221" s="50" t="str">
        <x:v>Mikroyapı ve sıkıştırma bilinmeden yalnız yoğunlukla güvenilir akustik karakterizasyon yapılamaz.</x:v>
      </x:c>
    </x:row>
    <x:row r="222">
      <x:c r="A222" s="46" t="str">
        <x:v>COTTON-D80-T50</x:v>
      </x:c>
      <x:c r="B222" s="46" t="str">
        <x:v>Diğer gözenekli emici</x:v>
      </x:c>
      <x:c r="C222" s="46" t="str">
        <x:v>Geri dönüştürülmüş pamuk keçe</x:v>
      </x:c>
      <x:c r="D222" s="46" t="str">
        <x:v>GENERIC</x:v>
      </x:c>
      <x:c r="E222" s="46" t="str">
        <x:v>COTTON</x:v>
      </x:c>
      <x:c r="F222" s="70" t="str">
        <x:v>JCA_STARTING_ESTIMATE</x:v>
      </x:c>
      <x:c r="G222" s="54" t="n">
        <x:v>50</x:v>
      </x:c>
      <x:c r="H222" s="54" t="n">
        <x:v>80</x:v>
      </x:c>
      <x:c r="I222" s="66" t="n">
        <x:v>25000</x:v>
      </x:c>
      <x:c r="J222" s="76" t="n">
        <x:f>IF(OR(G222="",I222=""),"",I222*G222/1000)</x:f>
        <x:v>1250</x:v>
      </x:c>
      <x:c r="K222" s="62" t="n">
        <x:v>0.97</x:v>
      </x:c>
      <x:c r="L222" s="62" t="n">
        <x:v>1.08</x:v>
      </x:c>
      <x:c r="M222" s="66" t="n">
        <x:v>120</x:v>
      </x:c>
      <x:c r="N222" s="66" t="n">
        <x:v>240</x:v>
      </x:c>
      <x:c r="O222" s="54" t="n">
        <x:v>320</x:v>
      </x:c>
      <x:c r="P222" s="62" t="n">
        <x:v>0.1</x:v>
      </x:c>
      <x:c r="Q222" s="62" t="n">
        <x:v>0.25</x:v>
      </x:c>
      <x:c r="R222" s="54"/>
      <x:c r="S222" s="62" t="n">
        <x:v>1.204</x:v>
      </x:c>
      <x:c r="T222" s="54" t="n">
        <x:v>343.2</x:v>
      </x:c>
      <x:c r="U222" s="86" t="n">
        <x:f>IF(OR(S222="",T222=""),"",S222*T222)</x:f>
        <x:v>413.21279999999996</x:v>
      </x:c>
      <x:c r="V222" s="46" t="str">
        <x:v>DÜŞÜK</x:v>
      </x:c>
      <x:c r="W222" s="46" t="str"/>
      <x:c r="X222" s="50" t="str">
        <x:v>Mikroyapı ve sıkıştırma bilinmeden yalnız yoğunlukla güvenilir akustik karakterizasyon yapılamaz.</x:v>
      </x:c>
    </x:row>
    <x:row r="223">
      <x:c r="A223" s="46" t="str">
        <x:v>COTTON-D80-T75</x:v>
      </x:c>
      <x:c r="B223" s="46" t="str">
        <x:v>Diğer gözenekli emici</x:v>
      </x:c>
      <x:c r="C223" s="46" t="str">
        <x:v>Geri dönüştürülmüş pamuk keçe</x:v>
      </x:c>
      <x:c r="D223" s="46" t="str">
        <x:v>GENERIC</x:v>
      </x:c>
      <x:c r="E223" s="46" t="str">
        <x:v>COTTON</x:v>
      </x:c>
      <x:c r="F223" s="70" t="str">
        <x:v>JCA_STARTING_ESTIMATE</x:v>
      </x:c>
      <x:c r="G223" s="54" t="n">
        <x:v>75</x:v>
      </x:c>
      <x:c r="H223" s="54" t="n">
        <x:v>80</x:v>
      </x:c>
      <x:c r="I223" s="66" t="n">
        <x:v>25000</x:v>
      </x:c>
      <x:c r="J223" s="76" t="n">
        <x:f>IF(OR(G223="",I223=""),"",I223*G223/1000)</x:f>
        <x:v>1875</x:v>
      </x:c>
      <x:c r="K223" s="62" t="n">
        <x:v>0.97</x:v>
      </x:c>
      <x:c r="L223" s="62" t="n">
        <x:v>1.08</x:v>
      </x:c>
      <x:c r="M223" s="66" t="n">
        <x:v>120</x:v>
      </x:c>
      <x:c r="N223" s="66" t="n">
        <x:v>240</x:v>
      </x:c>
      <x:c r="O223" s="54" t="n">
        <x:v>320</x:v>
      </x:c>
      <x:c r="P223" s="62" t="n">
        <x:v>0.1</x:v>
      </x:c>
      <x:c r="Q223" s="62" t="n">
        <x:v>0.25</x:v>
      </x:c>
      <x:c r="R223" s="54"/>
      <x:c r="S223" s="62" t="n">
        <x:v>1.204</x:v>
      </x:c>
      <x:c r="T223" s="54" t="n">
        <x:v>343.2</x:v>
      </x:c>
      <x:c r="U223" s="86" t="n">
        <x:f>IF(OR(S223="",T223=""),"",S223*T223)</x:f>
        <x:v>413.21279999999996</x:v>
      </x:c>
      <x:c r="V223" s="46" t="str">
        <x:v>DÜŞÜK</x:v>
      </x:c>
      <x:c r="W223" s="46" t="str"/>
      <x:c r="X223" s="50" t="str">
        <x:v>Mikroyapı ve sıkıştırma bilinmeden yalnız yoğunlukla güvenilir akustik karakterizasyon yapılamaz.</x:v>
      </x:c>
    </x:row>
    <x:row r="224">
      <x:c r="A224" s="46" t="str">
        <x:v>COTTON-D80-T100</x:v>
      </x:c>
      <x:c r="B224" s="46" t="str">
        <x:v>Diğer gözenekli emici</x:v>
      </x:c>
      <x:c r="C224" s="46" t="str">
        <x:v>Geri dönüştürülmüş pamuk keçe</x:v>
      </x:c>
      <x:c r="D224" s="46" t="str">
        <x:v>GENERIC</x:v>
      </x:c>
      <x:c r="E224" s="46" t="str">
        <x:v>COTTON</x:v>
      </x:c>
      <x:c r="F224" s="70" t="str">
        <x:v>JCA_STARTING_ESTIMATE</x:v>
      </x:c>
      <x:c r="G224" s="54" t="n">
        <x:v>100</x:v>
      </x:c>
      <x:c r="H224" s="54" t="n">
        <x:v>80</x:v>
      </x:c>
      <x:c r="I224" s="66" t="n">
        <x:v>25000</x:v>
      </x:c>
      <x:c r="J224" s="76" t="n">
        <x:f>IF(OR(G224="",I224=""),"",I224*G224/1000)</x:f>
        <x:v>2500</x:v>
      </x:c>
      <x:c r="K224" s="62" t="n">
        <x:v>0.97</x:v>
      </x:c>
      <x:c r="L224" s="62" t="n">
        <x:v>1.08</x:v>
      </x:c>
      <x:c r="M224" s="66" t="n">
        <x:v>120</x:v>
      </x:c>
      <x:c r="N224" s="66" t="n">
        <x:v>240</x:v>
      </x:c>
      <x:c r="O224" s="54" t="n">
        <x:v>320</x:v>
      </x:c>
      <x:c r="P224" s="62" t="n">
        <x:v>0.1</x:v>
      </x:c>
      <x:c r="Q224" s="62" t="n">
        <x:v>0.25</x:v>
      </x:c>
      <x:c r="R224" s="54"/>
      <x:c r="S224" s="62" t="n">
        <x:v>1.204</x:v>
      </x:c>
      <x:c r="T224" s="54" t="n">
        <x:v>343.2</x:v>
      </x:c>
      <x:c r="U224" s="86" t="n">
        <x:f>IF(OR(S224="",T224=""),"",S224*T224)</x:f>
        <x:v>413.21279999999996</x:v>
      </x:c>
      <x:c r="V224" s="46" t="str">
        <x:v>DÜŞÜK</x:v>
      </x:c>
      <x:c r="W224" s="46" t="str"/>
      <x:c r="X224" s="50" t="str">
        <x:v>Mikroyapı ve sıkıştırma bilinmeden yalnız yoğunlukla güvenilir akustik karakterizasyon yapılamaz.</x:v>
      </x:c>
    </x:row>
    <x:row r="225">
      <x:c r="A225" s="46" t="str">
        <x:v>MELAMINE-D8-T25</x:v>
      </x:c>
      <x:c r="B225" s="46" t="str">
        <x:v>Diğer gözenekli emici</x:v>
      </x:c>
      <x:c r="C225" s="46" t="str">
        <x:v>Açık hücre melamin köpük</x:v>
      </x:c>
      <x:c r="D225" s="46" t="str">
        <x:v>GENERIC</x:v>
      </x:c>
      <x:c r="E225" s="46" t="str">
        <x:v>MELAMINE</x:v>
      </x:c>
      <x:c r="F225" s="70" t="str">
        <x:v>JCA_STARTING_ESTIMATE</x:v>
      </x:c>
      <x:c r="G225" s="54" t="n">
        <x:v>25</x:v>
      </x:c>
      <x:c r="H225" s="54" t="n">
        <x:v>8</x:v>
      </x:c>
      <x:c r="I225" s="66" t="n">
        <x:v>8000</x:v>
      </x:c>
      <x:c r="J225" s="76" t="n">
        <x:f>IF(OR(G225="",I225=""),"",I225*G225/1000)</x:f>
        <x:v>200</x:v>
      </x:c>
      <x:c r="K225" s="62" t="n">
        <x:v>0.995</x:v>
      </x:c>
      <x:c r="L225" s="62" t="n">
        <x:v>1.02</x:v>
      </x:c>
      <x:c r="M225" s="66" t="n">
        <x:v>120</x:v>
      </x:c>
      <x:c r="N225" s="66" t="n">
        <x:v>240</x:v>
      </x:c>
      <x:c r="O225" s="54" t="n">
        <x:v>32</x:v>
      </x:c>
      <x:c r="P225" s="62" t="n">
        <x:v>0.1</x:v>
      </x:c>
      <x:c r="Q225" s="62" t="n">
        <x:v>0.25</x:v>
      </x:c>
      <x:c r="R225" s="54"/>
      <x:c r="S225" s="62" t="n">
        <x:v>1.204</x:v>
      </x:c>
      <x:c r="T225" s="54" t="n">
        <x:v>343.2</x:v>
      </x:c>
      <x:c r="U225" s="86" t="n">
        <x:f>IF(OR(S225="",T225=""),"",S225*T225)</x:f>
        <x:v>413.21279999999996</x:v>
      </x:c>
      <x:c r="V225" s="46" t="str">
        <x:v>DÜŞÜK</x:v>
      </x:c>
      <x:c r="W225" s="46" t="str"/>
      <x:c r="X225" s="50" t="str">
        <x:v>Mikroyapı ve sıkıştırma bilinmeden yalnız yoğunlukla güvenilir akustik karakterizasyon yapılamaz.</x:v>
      </x:c>
    </x:row>
    <x:row r="226">
      <x:c r="A226" s="46" t="str">
        <x:v>MELAMINE-D8-T50</x:v>
      </x:c>
      <x:c r="B226" s="46" t="str">
        <x:v>Diğer gözenekli emici</x:v>
      </x:c>
      <x:c r="C226" s="46" t="str">
        <x:v>Açık hücre melamin köpük</x:v>
      </x:c>
      <x:c r="D226" s="46" t="str">
        <x:v>GENERIC</x:v>
      </x:c>
      <x:c r="E226" s="46" t="str">
        <x:v>MELAMINE</x:v>
      </x:c>
      <x:c r="F226" s="70" t="str">
        <x:v>JCA_STARTING_ESTIMATE</x:v>
      </x:c>
      <x:c r="G226" s="54" t="n">
        <x:v>50</x:v>
      </x:c>
      <x:c r="H226" s="54" t="n">
        <x:v>8</x:v>
      </x:c>
      <x:c r="I226" s="66" t="n">
        <x:v>8000</x:v>
      </x:c>
      <x:c r="J226" s="76" t="n">
        <x:f>IF(OR(G226="",I226=""),"",I226*G226/1000)</x:f>
        <x:v>400</x:v>
      </x:c>
      <x:c r="K226" s="62" t="n">
        <x:v>0.995</x:v>
      </x:c>
      <x:c r="L226" s="62" t="n">
        <x:v>1.02</x:v>
      </x:c>
      <x:c r="M226" s="66" t="n">
        <x:v>120</x:v>
      </x:c>
      <x:c r="N226" s="66" t="n">
        <x:v>240</x:v>
      </x:c>
      <x:c r="O226" s="54" t="n">
        <x:v>32</x:v>
      </x:c>
      <x:c r="P226" s="62" t="n">
        <x:v>0.1</x:v>
      </x:c>
      <x:c r="Q226" s="62" t="n">
        <x:v>0.25</x:v>
      </x:c>
      <x:c r="R226" s="54"/>
      <x:c r="S226" s="62" t="n">
        <x:v>1.204</x:v>
      </x:c>
      <x:c r="T226" s="54" t="n">
        <x:v>343.2</x:v>
      </x:c>
      <x:c r="U226" s="86" t="n">
        <x:f>IF(OR(S226="",T226=""),"",S226*T226)</x:f>
        <x:v>413.21279999999996</x:v>
      </x:c>
      <x:c r="V226" s="46" t="str">
        <x:v>DÜŞÜK</x:v>
      </x:c>
      <x:c r="W226" s="46" t="str"/>
      <x:c r="X226" s="50" t="str">
        <x:v>Mikroyapı ve sıkıştırma bilinmeden yalnız yoğunlukla güvenilir akustik karakterizasyon yapılamaz.</x:v>
      </x:c>
    </x:row>
    <x:row r="227">
      <x:c r="A227" s="46" t="str">
        <x:v>MELAMINE-D8-T75</x:v>
      </x:c>
      <x:c r="B227" s="46" t="str">
        <x:v>Diğer gözenekli emici</x:v>
      </x:c>
      <x:c r="C227" s="46" t="str">
        <x:v>Açık hücre melamin köpük</x:v>
      </x:c>
      <x:c r="D227" s="46" t="str">
        <x:v>GENERIC</x:v>
      </x:c>
      <x:c r="E227" s="46" t="str">
        <x:v>MELAMINE</x:v>
      </x:c>
      <x:c r="F227" s="70" t="str">
        <x:v>JCA_STARTING_ESTIMATE</x:v>
      </x:c>
      <x:c r="G227" s="54" t="n">
        <x:v>75</x:v>
      </x:c>
      <x:c r="H227" s="54" t="n">
        <x:v>8</x:v>
      </x:c>
      <x:c r="I227" s="66" t="n">
        <x:v>8000</x:v>
      </x:c>
      <x:c r="J227" s="76" t="n">
        <x:f>IF(OR(G227="",I227=""),"",I227*G227/1000)</x:f>
        <x:v>600</x:v>
      </x:c>
      <x:c r="K227" s="62" t="n">
        <x:v>0.995</x:v>
      </x:c>
      <x:c r="L227" s="62" t="n">
        <x:v>1.02</x:v>
      </x:c>
      <x:c r="M227" s="66" t="n">
        <x:v>120</x:v>
      </x:c>
      <x:c r="N227" s="66" t="n">
        <x:v>240</x:v>
      </x:c>
      <x:c r="O227" s="54" t="n">
        <x:v>32</x:v>
      </x:c>
      <x:c r="P227" s="62" t="n">
        <x:v>0.1</x:v>
      </x:c>
      <x:c r="Q227" s="62" t="n">
        <x:v>0.25</x:v>
      </x:c>
      <x:c r="R227" s="54"/>
      <x:c r="S227" s="62" t="n">
        <x:v>1.204</x:v>
      </x:c>
      <x:c r="T227" s="54" t="n">
        <x:v>343.2</x:v>
      </x:c>
      <x:c r="U227" s="86" t="n">
        <x:f>IF(OR(S227="",T227=""),"",S227*T227)</x:f>
        <x:v>413.21279999999996</x:v>
      </x:c>
      <x:c r="V227" s="46" t="str">
        <x:v>DÜŞÜK</x:v>
      </x:c>
      <x:c r="W227" s="46" t="str"/>
      <x:c r="X227" s="50" t="str">
        <x:v>Mikroyapı ve sıkıştırma bilinmeden yalnız yoğunlukla güvenilir akustik karakterizasyon yapılamaz.</x:v>
      </x:c>
    </x:row>
    <x:row r="228">
      <x:c r="A228" s="46" t="str">
        <x:v>MELAMINE-D8-T100</x:v>
      </x:c>
      <x:c r="B228" s="46" t="str">
        <x:v>Diğer gözenekli emici</x:v>
      </x:c>
      <x:c r="C228" s="46" t="str">
        <x:v>Açık hücre melamin köpük</x:v>
      </x:c>
      <x:c r="D228" s="46" t="str">
        <x:v>GENERIC</x:v>
      </x:c>
      <x:c r="E228" s="46" t="str">
        <x:v>MELAMINE</x:v>
      </x:c>
      <x:c r="F228" s="70" t="str">
        <x:v>JCA_STARTING_ESTIMATE</x:v>
      </x:c>
      <x:c r="G228" s="54" t="n">
        <x:v>100</x:v>
      </x:c>
      <x:c r="H228" s="54" t="n">
        <x:v>8</x:v>
      </x:c>
      <x:c r="I228" s="66" t="n">
        <x:v>8000</x:v>
      </x:c>
      <x:c r="J228" s="76" t="n">
        <x:f>IF(OR(G228="",I228=""),"",I228*G228/1000)</x:f>
        <x:v>800</x:v>
      </x:c>
      <x:c r="K228" s="62" t="n">
        <x:v>0.995</x:v>
      </x:c>
      <x:c r="L228" s="62" t="n">
        <x:v>1.02</x:v>
      </x:c>
      <x:c r="M228" s="66" t="n">
        <x:v>120</x:v>
      </x:c>
      <x:c r="N228" s="66" t="n">
        <x:v>240</x:v>
      </x:c>
      <x:c r="O228" s="54" t="n">
        <x:v>32</x:v>
      </x:c>
      <x:c r="P228" s="62" t="n">
        <x:v>0.1</x:v>
      </x:c>
      <x:c r="Q228" s="62" t="n">
        <x:v>0.25</x:v>
      </x:c>
      <x:c r="R228" s="54"/>
      <x:c r="S228" s="62" t="n">
        <x:v>1.204</x:v>
      </x:c>
      <x:c r="T228" s="54" t="n">
        <x:v>343.2</x:v>
      </x:c>
      <x:c r="U228" s="86" t="n">
        <x:f>IF(OR(S228="",T228=""),"",S228*T228)</x:f>
        <x:v>413.21279999999996</x:v>
      </x:c>
      <x:c r="V228" s="46" t="str">
        <x:v>DÜŞÜK</x:v>
      </x:c>
      <x:c r="W228" s="46" t="str"/>
      <x:c r="X228" s="50" t="str">
        <x:v>Mikroyapı ve sıkıştırma bilinmeden yalnız yoğunlukla güvenilir akustik karakterizasyon yapılamaz.</x:v>
      </x:c>
    </x:row>
    <x:row r="229">
      <x:c r="A229" s="46" t="str">
        <x:v>MELAMINE-D11-T25</x:v>
      </x:c>
      <x:c r="B229" s="46" t="str">
        <x:v>Diğer gözenekli emici</x:v>
      </x:c>
      <x:c r="C229" s="46" t="str">
        <x:v>Açık hücre melamin köpük</x:v>
      </x:c>
      <x:c r="D229" s="46" t="str">
        <x:v>GENERIC</x:v>
      </x:c>
      <x:c r="E229" s="46" t="str">
        <x:v>MELAMINE</x:v>
      </x:c>
      <x:c r="F229" s="70" t="str">
        <x:v>JCA_STARTING_ESTIMATE</x:v>
      </x:c>
      <x:c r="G229" s="54" t="n">
        <x:v>25</x:v>
      </x:c>
      <x:c r="H229" s="54" t="n">
        <x:v>11</x:v>
      </x:c>
      <x:c r="I229" s="66" t="n">
        <x:v>11000</x:v>
      </x:c>
      <x:c r="J229" s="76" t="n">
        <x:f>IF(OR(G229="",I229=""),"",I229*G229/1000)</x:f>
        <x:v>275</x:v>
      </x:c>
      <x:c r="K229" s="62" t="n">
        <x:v>0.995</x:v>
      </x:c>
      <x:c r="L229" s="62" t="n">
        <x:v>1.02</x:v>
      </x:c>
      <x:c r="M229" s="66" t="n">
        <x:v>120</x:v>
      </x:c>
      <x:c r="N229" s="66" t="n">
        <x:v>240</x:v>
      </x:c>
      <x:c r="O229" s="54" t="n">
        <x:v>44</x:v>
      </x:c>
      <x:c r="P229" s="62" t="n">
        <x:v>0.1</x:v>
      </x:c>
      <x:c r="Q229" s="62" t="n">
        <x:v>0.25</x:v>
      </x:c>
      <x:c r="R229" s="54"/>
      <x:c r="S229" s="62" t="n">
        <x:v>1.204</x:v>
      </x:c>
      <x:c r="T229" s="54" t="n">
        <x:v>343.2</x:v>
      </x:c>
      <x:c r="U229" s="86" t="n">
        <x:f>IF(OR(S229="",T229=""),"",S229*T229)</x:f>
        <x:v>413.21279999999996</x:v>
      </x:c>
      <x:c r="V229" s="46" t="str">
        <x:v>DÜŞÜK</x:v>
      </x:c>
      <x:c r="W229" s="46" t="str"/>
      <x:c r="X229" s="50" t="str">
        <x:v>Mikroyapı ve sıkıştırma bilinmeden yalnız yoğunlukla güvenilir akustik karakterizasyon yapılamaz.</x:v>
      </x:c>
    </x:row>
    <x:row r="230">
      <x:c r="A230" s="46" t="str">
        <x:v>MELAMINE-D11-T50</x:v>
      </x:c>
      <x:c r="B230" s="46" t="str">
        <x:v>Diğer gözenekli emici</x:v>
      </x:c>
      <x:c r="C230" s="46" t="str">
        <x:v>Açık hücre melamin köpük</x:v>
      </x:c>
      <x:c r="D230" s="46" t="str">
        <x:v>GENERIC</x:v>
      </x:c>
      <x:c r="E230" s="46" t="str">
        <x:v>MELAMINE</x:v>
      </x:c>
      <x:c r="F230" s="70" t="str">
        <x:v>JCA_STARTING_ESTIMATE</x:v>
      </x:c>
      <x:c r="G230" s="54" t="n">
        <x:v>50</x:v>
      </x:c>
      <x:c r="H230" s="54" t="n">
        <x:v>11</x:v>
      </x:c>
      <x:c r="I230" s="66" t="n">
        <x:v>11000</x:v>
      </x:c>
      <x:c r="J230" s="76" t="n">
        <x:f>IF(OR(G230="",I230=""),"",I230*G230/1000)</x:f>
        <x:v>550</x:v>
      </x:c>
      <x:c r="K230" s="62" t="n">
        <x:v>0.995</x:v>
      </x:c>
      <x:c r="L230" s="62" t="n">
        <x:v>1.02</x:v>
      </x:c>
      <x:c r="M230" s="66" t="n">
        <x:v>120</x:v>
      </x:c>
      <x:c r="N230" s="66" t="n">
        <x:v>240</x:v>
      </x:c>
      <x:c r="O230" s="54" t="n">
        <x:v>44</x:v>
      </x:c>
      <x:c r="P230" s="62" t="n">
        <x:v>0.1</x:v>
      </x:c>
      <x:c r="Q230" s="62" t="n">
        <x:v>0.25</x:v>
      </x:c>
      <x:c r="R230" s="54"/>
      <x:c r="S230" s="62" t="n">
        <x:v>1.204</x:v>
      </x:c>
      <x:c r="T230" s="54" t="n">
        <x:v>343.2</x:v>
      </x:c>
      <x:c r="U230" s="86" t="n">
        <x:f>IF(OR(S230="",T230=""),"",S230*T230)</x:f>
        <x:v>413.21279999999996</x:v>
      </x:c>
      <x:c r="V230" s="46" t="str">
        <x:v>DÜŞÜK</x:v>
      </x:c>
      <x:c r="W230" s="46" t="str"/>
      <x:c r="X230" s="50" t="str">
        <x:v>Mikroyapı ve sıkıştırma bilinmeden yalnız yoğunlukla güvenilir akustik karakterizasyon yapılamaz.</x:v>
      </x:c>
    </x:row>
    <x:row r="231">
      <x:c r="A231" s="46" t="str">
        <x:v>MELAMINE-D11-T75</x:v>
      </x:c>
      <x:c r="B231" s="46" t="str">
        <x:v>Diğer gözenekli emici</x:v>
      </x:c>
      <x:c r="C231" s="46" t="str">
        <x:v>Açık hücre melamin köpük</x:v>
      </x:c>
      <x:c r="D231" s="46" t="str">
        <x:v>GENERIC</x:v>
      </x:c>
      <x:c r="E231" s="46" t="str">
        <x:v>MELAMINE</x:v>
      </x:c>
      <x:c r="F231" s="70" t="str">
        <x:v>JCA_STARTING_ESTIMATE</x:v>
      </x:c>
      <x:c r="G231" s="54" t="n">
        <x:v>75</x:v>
      </x:c>
      <x:c r="H231" s="54" t="n">
        <x:v>11</x:v>
      </x:c>
      <x:c r="I231" s="66" t="n">
        <x:v>11000</x:v>
      </x:c>
      <x:c r="J231" s="76" t="n">
        <x:f>IF(OR(G231="",I231=""),"",I231*G231/1000)</x:f>
        <x:v>825</x:v>
      </x:c>
      <x:c r="K231" s="62" t="n">
        <x:v>0.995</x:v>
      </x:c>
      <x:c r="L231" s="62" t="n">
        <x:v>1.02</x:v>
      </x:c>
      <x:c r="M231" s="66" t="n">
        <x:v>120</x:v>
      </x:c>
      <x:c r="N231" s="66" t="n">
        <x:v>240</x:v>
      </x:c>
      <x:c r="O231" s="54" t="n">
        <x:v>44</x:v>
      </x:c>
      <x:c r="P231" s="62" t="n">
        <x:v>0.1</x:v>
      </x:c>
      <x:c r="Q231" s="62" t="n">
        <x:v>0.25</x:v>
      </x:c>
      <x:c r="R231" s="54"/>
      <x:c r="S231" s="62" t="n">
        <x:v>1.204</x:v>
      </x:c>
      <x:c r="T231" s="54" t="n">
        <x:v>343.2</x:v>
      </x:c>
      <x:c r="U231" s="86" t="n">
        <x:f>IF(OR(S231="",T231=""),"",S231*T231)</x:f>
        <x:v>413.21279999999996</x:v>
      </x:c>
      <x:c r="V231" s="46" t="str">
        <x:v>DÜŞÜK</x:v>
      </x:c>
      <x:c r="W231" s="46" t="str"/>
      <x:c r="X231" s="50" t="str">
        <x:v>Mikroyapı ve sıkıştırma bilinmeden yalnız yoğunlukla güvenilir akustik karakterizasyon yapılamaz.</x:v>
      </x:c>
    </x:row>
    <x:row r="232">
      <x:c r="A232" s="46" t="str">
        <x:v>MELAMINE-D11-T100</x:v>
      </x:c>
      <x:c r="B232" s="46" t="str">
        <x:v>Diğer gözenekli emici</x:v>
      </x:c>
      <x:c r="C232" s="46" t="str">
        <x:v>Açık hücre melamin köpük</x:v>
      </x:c>
      <x:c r="D232" s="46" t="str">
        <x:v>GENERIC</x:v>
      </x:c>
      <x:c r="E232" s="46" t="str">
        <x:v>MELAMINE</x:v>
      </x:c>
      <x:c r="F232" s="70" t="str">
        <x:v>JCA_STARTING_ESTIMATE</x:v>
      </x:c>
      <x:c r="G232" s="54" t="n">
        <x:v>100</x:v>
      </x:c>
      <x:c r="H232" s="54" t="n">
        <x:v>11</x:v>
      </x:c>
      <x:c r="I232" s="66" t="n">
        <x:v>11000</x:v>
      </x:c>
      <x:c r="J232" s="76" t="n">
        <x:f>IF(OR(G232="",I232=""),"",I232*G232/1000)</x:f>
        <x:v>1100</x:v>
      </x:c>
      <x:c r="K232" s="62" t="n">
        <x:v>0.995</x:v>
      </x:c>
      <x:c r="L232" s="62" t="n">
        <x:v>1.02</x:v>
      </x:c>
      <x:c r="M232" s="66" t="n">
        <x:v>120</x:v>
      </x:c>
      <x:c r="N232" s="66" t="n">
        <x:v>240</x:v>
      </x:c>
      <x:c r="O232" s="54" t="n">
        <x:v>44</x:v>
      </x:c>
      <x:c r="P232" s="62" t="n">
        <x:v>0.1</x:v>
      </x:c>
      <x:c r="Q232" s="62" t="n">
        <x:v>0.25</x:v>
      </x:c>
      <x:c r="R232" s="54"/>
      <x:c r="S232" s="62" t="n">
        <x:v>1.204</x:v>
      </x:c>
      <x:c r="T232" s="54" t="n">
        <x:v>343.2</x:v>
      </x:c>
      <x:c r="U232" s="86" t="n">
        <x:f>IF(OR(S232="",T232=""),"",S232*T232)</x:f>
        <x:v>413.21279999999996</x:v>
      </x:c>
      <x:c r="V232" s="46" t="str">
        <x:v>DÜŞÜK</x:v>
      </x:c>
      <x:c r="W232" s="46" t="str"/>
      <x:c r="X232" s="50" t="str">
        <x:v>Mikroyapı ve sıkıştırma bilinmeden yalnız yoğunlukla güvenilir akustik karakterizasyon yapılamaz.</x:v>
      </x:c>
    </x:row>
    <x:row r="233">
      <x:c r="A233" s="46" t="str">
        <x:v>MELAMINE-D15-T25</x:v>
      </x:c>
      <x:c r="B233" s="46" t="str">
        <x:v>Diğer gözenekli emici</x:v>
      </x:c>
      <x:c r="C233" s="46" t="str">
        <x:v>Açık hücre melamin köpük</x:v>
      </x:c>
      <x:c r="D233" s="46" t="str">
        <x:v>GENERIC</x:v>
      </x:c>
      <x:c r="E233" s="46" t="str">
        <x:v>MELAMINE</x:v>
      </x:c>
      <x:c r="F233" s="70" t="str">
        <x:v>JCA_STARTING_ESTIMATE</x:v>
      </x:c>
      <x:c r="G233" s="54" t="n">
        <x:v>25</x:v>
      </x:c>
      <x:c r="H233" s="54" t="n">
        <x:v>15</x:v>
      </x:c>
      <x:c r="I233" s="66" t="n">
        <x:v>15000</x:v>
      </x:c>
      <x:c r="J233" s="76" t="n">
        <x:f>IF(OR(G233="",I233=""),"",I233*G233/1000)</x:f>
        <x:v>375</x:v>
      </x:c>
      <x:c r="K233" s="62" t="n">
        <x:v>0.995</x:v>
      </x:c>
      <x:c r="L233" s="62" t="n">
        <x:v>1.02</x:v>
      </x:c>
      <x:c r="M233" s="66" t="n">
        <x:v>120</x:v>
      </x:c>
      <x:c r="N233" s="66" t="n">
        <x:v>240</x:v>
      </x:c>
      <x:c r="O233" s="54" t="n">
        <x:v>60</x:v>
      </x:c>
      <x:c r="P233" s="62" t="n">
        <x:v>0.1</x:v>
      </x:c>
      <x:c r="Q233" s="62" t="n">
        <x:v>0.25</x:v>
      </x:c>
      <x:c r="R233" s="54"/>
      <x:c r="S233" s="62" t="n">
        <x:v>1.204</x:v>
      </x:c>
      <x:c r="T233" s="54" t="n">
        <x:v>343.2</x:v>
      </x:c>
      <x:c r="U233" s="86" t="n">
        <x:f>IF(OR(S233="",T233=""),"",S233*T233)</x:f>
        <x:v>413.21279999999996</x:v>
      </x:c>
      <x:c r="V233" s="46" t="str">
        <x:v>DÜŞÜK</x:v>
      </x:c>
      <x:c r="W233" s="46" t="str"/>
      <x:c r="X233" s="50" t="str">
        <x:v>Mikroyapı ve sıkıştırma bilinmeden yalnız yoğunlukla güvenilir akustik karakterizasyon yapılamaz.</x:v>
      </x:c>
    </x:row>
    <x:row r="234">
      <x:c r="A234" s="46" t="str">
        <x:v>MELAMINE-D15-T50</x:v>
      </x:c>
      <x:c r="B234" s="46" t="str">
        <x:v>Diğer gözenekli emici</x:v>
      </x:c>
      <x:c r="C234" s="46" t="str">
        <x:v>Açık hücre melamin köpük</x:v>
      </x:c>
      <x:c r="D234" s="46" t="str">
        <x:v>GENERIC</x:v>
      </x:c>
      <x:c r="E234" s="46" t="str">
        <x:v>MELAMINE</x:v>
      </x:c>
      <x:c r="F234" s="70" t="str">
        <x:v>JCA_STARTING_ESTIMATE</x:v>
      </x:c>
      <x:c r="G234" s="54" t="n">
        <x:v>50</x:v>
      </x:c>
      <x:c r="H234" s="54" t="n">
        <x:v>15</x:v>
      </x:c>
      <x:c r="I234" s="66" t="n">
        <x:v>15000</x:v>
      </x:c>
      <x:c r="J234" s="76" t="n">
        <x:f>IF(OR(G234="",I234=""),"",I234*G234/1000)</x:f>
        <x:v>750</x:v>
      </x:c>
      <x:c r="K234" s="62" t="n">
        <x:v>0.995</x:v>
      </x:c>
      <x:c r="L234" s="62" t="n">
        <x:v>1.02</x:v>
      </x:c>
      <x:c r="M234" s="66" t="n">
        <x:v>120</x:v>
      </x:c>
      <x:c r="N234" s="66" t="n">
        <x:v>240</x:v>
      </x:c>
      <x:c r="O234" s="54" t="n">
        <x:v>60</x:v>
      </x:c>
      <x:c r="P234" s="62" t="n">
        <x:v>0.1</x:v>
      </x:c>
      <x:c r="Q234" s="62" t="n">
        <x:v>0.25</x:v>
      </x:c>
      <x:c r="R234" s="54"/>
      <x:c r="S234" s="62" t="n">
        <x:v>1.204</x:v>
      </x:c>
      <x:c r="T234" s="54" t="n">
        <x:v>343.2</x:v>
      </x:c>
      <x:c r="U234" s="86" t="n">
        <x:f>IF(OR(S234="",T234=""),"",S234*T234)</x:f>
        <x:v>413.21279999999996</x:v>
      </x:c>
      <x:c r="V234" s="46" t="str">
        <x:v>DÜŞÜK</x:v>
      </x:c>
      <x:c r="W234" s="46" t="str"/>
      <x:c r="X234" s="50" t="str">
        <x:v>Mikroyapı ve sıkıştırma bilinmeden yalnız yoğunlukla güvenilir akustik karakterizasyon yapılamaz.</x:v>
      </x:c>
    </x:row>
    <x:row r="235">
      <x:c r="A235" s="46" t="str">
        <x:v>MELAMINE-D15-T75</x:v>
      </x:c>
      <x:c r="B235" s="46" t="str">
        <x:v>Diğer gözenekli emici</x:v>
      </x:c>
      <x:c r="C235" s="46" t="str">
        <x:v>Açık hücre melamin köpük</x:v>
      </x:c>
      <x:c r="D235" s="46" t="str">
        <x:v>GENERIC</x:v>
      </x:c>
      <x:c r="E235" s="46" t="str">
        <x:v>MELAMINE</x:v>
      </x:c>
      <x:c r="F235" s="70" t="str">
        <x:v>JCA_STARTING_ESTIMATE</x:v>
      </x:c>
      <x:c r="G235" s="54" t="n">
        <x:v>75</x:v>
      </x:c>
      <x:c r="H235" s="54" t="n">
        <x:v>15</x:v>
      </x:c>
      <x:c r="I235" s="66" t="n">
        <x:v>15000</x:v>
      </x:c>
      <x:c r="J235" s="76" t="n">
        <x:f>IF(OR(G235="",I235=""),"",I235*G235/1000)</x:f>
        <x:v>1125</x:v>
      </x:c>
      <x:c r="K235" s="62" t="n">
        <x:v>0.995</x:v>
      </x:c>
      <x:c r="L235" s="62" t="n">
        <x:v>1.02</x:v>
      </x:c>
      <x:c r="M235" s="66" t="n">
        <x:v>120</x:v>
      </x:c>
      <x:c r="N235" s="66" t="n">
        <x:v>240</x:v>
      </x:c>
      <x:c r="O235" s="54" t="n">
        <x:v>60</x:v>
      </x:c>
      <x:c r="P235" s="62" t="n">
        <x:v>0.1</x:v>
      </x:c>
      <x:c r="Q235" s="62" t="n">
        <x:v>0.25</x:v>
      </x:c>
      <x:c r="R235" s="54"/>
      <x:c r="S235" s="62" t="n">
        <x:v>1.204</x:v>
      </x:c>
      <x:c r="T235" s="54" t="n">
        <x:v>343.2</x:v>
      </x:c>
      <x:c r="U235" s="86" t="n">
        <x:f>IF(OR(S235="",T235=""),"",S235*T235)</x:f>
        <x:v>413.21279999999996</x:v>
      </x:c>
      <x:c r="V235" s="46" t="str">
        <x:v>DÜŞÜK</x:v>
      </x:c>
      <x:c r="W235" s="46" t="str"/>
      <x:c r="X235" s="50" t="str">
        <x:v>Mikroyapı ve sıkıştırma bilinmeden yalnız yoğunlukla güvenilir akustik karakterizasyon yapılamaz.</x:v>
      </x:c>
    </x:row>
    <x:row r="236">
      <x:c r="A236" s="46" t="str">
        <x:v>MELAMINE-D15-T100</x:v>
      </x:c>
      <x:c r="B236" s="46" t="str">
        <x:v>Diğer gözenekli emici</x:v>
      </x:c>
      <x:c r="C236" s="46" t="str">
        <x:v>Açık hücre melamin köpük</x:v>
      </x:c>
      <x:c r="D236" s="46" t="str">
        <x:v>GENERIC</x:v>
      </x:c>
      <x:c r="E236" s="46" t="str">
        <x:v>MELAMINE</x:v>
      </x:c>
      <x:c r="F236" s="70" t="str">
        <x:v>JCA_STARTING_ESTIMATE</x:v>
      </x:c>
      <x:c r="G236" s="54" t="n">
        <x:v>100</x:v>
      </x:c>
      <x:c r="H236" s="54" t="n">
        <x:v>15</x:v>
      </x:c>
      <x:c r="I236" s="66" t="n">
        <x:v>15000</x:v>
      </x:c>
      <x:c r="J236" s="76" t="n">
        <x:f>IF(OR(G236="",I236=""),"",I236*G236/1000)</x:f>
        <x:v>1500</x:v>
      </x:c>
      <x:c r="K236" s="62" t="n">
        <x:v>0.995</x:v>
      </x:c>
      <x:c r="L236" s="62" t="n">
        <x:v>1.02</x:v>
      </x:c>
      <x:c r="M236" s="66" t="n">
        <x:v>120</x:v>
      </x:c>
      <x:c r="N236" s="66" t="n">
        <x:v>240</x:v>
      </x:c>
      <x:c r="O236" s="54" t="n">
        <x:v>60</x:v>
      </x:c>
      <x:c r="P236" s="62" t="n">
        <x:v>0.1</x:v>
      </x:c>
      <x:c r="Q236" s="62" t="n">
        <x:v>0.25</x:v>
      </x:c>
      <x:c r="R236" s="54"/>
      <x:c r="S236" s="62" t="n">
        <x:v>1.204</x:v>
      </x:c>
      <x:c r="T236" s="54" t="n">
        <x:v>343.2</x:v>
      </x:c>
      <x:c r="U236" s="86" t="n">
        <x:f>IF(OR(S236="",T236=""),"",S236*T236)</x:f>
        <x:v>413.21279999999996</x:v>
      </x:c>
      <x:c r="V236" s="46" t="str">
        <x:v>DÜŞÜK</x:v>
      </x:c>
      <x:c r="W236" s="46" t="str"/>
      <x:c r="X236" s="50" t="str">
        <x:v>Mikroyapı ve sıkıştırma bilinmeden yalnız yoğunlukla güvenilir akustik karakterizasyon yapılamaz.</x:v>
      </x:c>
    </x:row>
    <x:row r="237">
      <x:c r="A237" s="46" t="str">
        <x:v>PU-OPEN-D20-T25</x:v>
      </x:c>
      <x:c r="B237" s="46" t="str">
        <x:v>Diğer gözenekli emici</x:v>
      </x:c>
      <x:c r="C237" s="46" t="str">
        <x:v>Açık hücre PU akustik köpük</x:v>
      </x:c>
      <x:c r="D237" s="46" t="str">
        <x:v>GENERIC</x:v>
      </x:c>
      <x:c r="E237" s="46" t="str">
        <x:v>PU-OPEN</x:v>
      </x:c>
      <x:c r="F237" s="70" t="str">
        <x:v>JCA_STARTING_ESTIMATE</x:v>
      </x:c>
      <x:c r="G237" s="54" t="n">
        <x:v>25</x:v>
      </x:c>
      <x:c r="H237" s="54" t="n">
        <x:v>20</x:v>
      </x:c>
      <x:c r="I237" s="66" t="n">
        <x:v>7000</x:v>
      </x:c>
      <x:c r="J237" s="76" t="n">
        <x:f>IF(OR(G237="",I237=""),"",I237*G237/1000)</x:f>
        <x:v>175</x:v>
      </x:c>
      <x:c r="K237" s="62" t="n">
        <x:v>0.98</x:v>
      </x:c>
      <x:c r="L237" s="62" t="n">
        <x:v>1.08</x:v>
      </x:c>
      <x:c r="M237" s="66" t="n">
        <x:v>120</x:v>
      </x:c>
      <x:c r="N237" s="66" t="n">
        <x:v>240</x:v>
      </x:c>
      <x:c r="O237" s="54" t="n">
        <x:v>80</x:v>
      </x:c>
      <x:c r="P237" s="62" t="n">
        <x:v>0.1</x:v>
      </x:c>
      <x:c r="Q237" s="62" t="n">
        <x:v>0.25</x:v>
      </x:c>
      <x:c r="R237" s="54"/>
      <x:c r="S237" s="62" t="n">
        <x:v>1.204</x:v>
      </x:c>
      <x:c r="T237" s="54" t="n">
        <x:v>343.2</x:v>
      </x:c>
      <x:c r="U237" s="86" t="n">
        <x:f>IF(OR(S237="",T237=""),"",S237*T237)</x:f>
        <x:v>413.21279999999996</x:v>
      </x:c>
      <x:c r="V237" s="46" t="str">
        <x:v>DÜŞÜK</x:v>
      </x:c>
      <x:c r="W237" s="46" t="str"/>
      <x:c r="X237" s="50" t="str">
        <x:v>Mikroyapı ve sıkıştırma bilinmeden yalnız yoğunlukla güvenilir akustik karakterizasyon yapılamaz.</x:v>
      </x:c>
    </x:row>
    <x:row r="238">
      <x:c r="A238" s="46" t="str">
        <x:v>PU-OPEN-D20-T50</x:v>
      </x:c>
      <x:c r="B238" s="46" t="str">
        <x:v>Diğer gözenekli emici</x:v>
      </x:c>
      <x:c r="C238" s="46" t="str">
        <x:v>Açık hücre PU akustik köpük</x:v>
      </x:c>
      <x:c r="D238" s="46" t="str">
        <x:v>GENERIC</x:v>
      </x:c>
      <x:c r="E238" s="46" t="str">
        <x:v>PU-OPEN</x:v>
      </x:c>
      <x:c r="F238" s="70" t="str">
        <x:v>JCA_STARTING_ESTIMATE</x:v>
      </x:c>
      <x:c r="G238" s="54" t="n">
        <x:v>50</x:v>
      </x:c>
      <x:c r="H238" s="54" t="n">
        <x:v>20</x:v>
      </x:c>
      <x:c r="I238" s="66" t="n">
        <x:v>7000</x:v>
      </x:c>
      <x:c r="J238" s="76" t="n">
        <x:f>IF(OR(G238="",I238=""),"",I238*G238/1000)</x:f>
        <x:v>350</x:v>
      </x:c>
      <x:c r="K238" s="62" t="n">
        <x:v>0.98</x:v>
      </x:c>
      <x:c r="L238" s="62" t="n">
        <x:v>1.08</x:v>
      </x:c>
      <x:c r="M238" s="66" t="n">
        <x:v>120</x:v>
      </x:c>
      <x:c r="N238" s="66" t="n">
        <x:v>240</x:v>
      </x:c>
      <x:c r="O238" s="54" t="n">
        <x:v>80</x:v>
      </x:c>
      <x:c r="P238" s="62" t="n">
        <x:v>0.1</x:v>
      </x:c>
      <x:c r="Q238" s="62" t="n">
        <x:v>0.25</x:v>
      </x:c>
      <x:c r="R238" s="54"/>
      <x:c r="S238" s="62" t="n">
        <x:v>1.204</x:v>
      </x:c>
      <x:c r="T238" s="54" t="n">
        <x:v>343.2</x:v>
      </x:c>
      <x:c r="U238" s="86" t="n">
        <x:f>IF(OR(S238="",T238=""),"",S238*T238)</x:f>
        <x:v>413.21279999999996</x:v>
      </x:c>
      <x:c r="V238" s="46" t="str">
        <x:v>DÜŞÜK</x:v>
      </x:c>
      <x:c r="W238" s="46" t="str"/>
      <x:c r="X238" s="50" t="str">
        <x:v>Mikroyapı ve sıkıştırma bilinmeden yalnız yoğunlukla güvenilir akustik karakterizasyon yapılamaz.</x:v>
      </x:c>
    </x:row>
    <x:row r="239">
      <x:c r="A239" s="46" t="str">
        <x:v>PU-OPEN-D20-T75</x:v>
      </x:c>
      <x:c r="B239" s="46" t="str">
        <x:v>Diğer gözenekli emici</x:v>
      </x:c>
      <x:c r="C239" s="46" t="str">
        <x:v>Açık hücre PU akustik köpük</x:v>
      </x:c>
      <x:c r="D239" s="46" t="str">
        <x:v>GENERIC</x:v>
      </x:c>
      <x:c r="E239" s="46" t="str">
        <x:v>PU-OPEN</x:v>
      </x:c>
      <x:c r="F239" s="70" t="str">
        <x:v>JCA_STARTING_ESTIMATE</x:v>
      </x:c>
      <x:c r="G239" s="54" t="n">
        <x:v>75</x:v>
      </x:c>
      <x:c r="H239" s="54" t="n">
        <x:v>20</x:v>
      </x:c>
      <x:c r="I239" s="66" t="n">
        <x:v>7000</x:v>
      </x:c>
      <x:c r="J239" s="76" t="n">
        <x:f>IF(OR(G239="",I239=""),"",I239*G239/1000)</x:f>
        <x:v>525</x:v>
      </x:c>
      <x:c r="K239" s="62" t="n">
        <x:v>0.98</x:v>
      </x:c>
      <x:c r="L239" s="62" t="n">
        <x:v>1.08</x:v>
      </x:c>
      <x:c r="M239" s="66" t="n">
        <x:v>120</x:v>
      </x:c>
      <x:c r="N239" s="66" t="n">
        <x:v>240</x:v>
      </x:c>
      <x:c r="O239" s="54" t="n">
        <x:v>80</x:v>
      </x:c>
      <x:c r="P239" s="62" t="n">
        <x:v>0.1</x:v>
      </x:c>
      <x:c r="Q239" s="62" t="n">
        <x:v>0.25</x:v>
      </x:c>
      <x:c r="R239" s="54"/>
      <x:c r="S239" s="62" t="n">
        <x:v>1.204</x:v>
      </x:c>
      <x:c r="T239" s="54" t="n">
        <x:v>343.2</x:v>
      </x:c>
      <x:c r="U239" s="86" t="n">
        <x:f>IF(OR(S239="",T239=""),"",S239*T239)</x:f>
        <x:v>413.21279999999996</x:v>
      </x:c>
      <x:c r="V239" s="46" t="str">
        <x:v>DÜŞÜK</x:v>
      </x:c>
      <x:c r="W239" s="46" t="str"/>
      <x:c r="X239" s="50" t="str">
        <x:v>Mikroyapı ve sıkıştırma bilinmeden yalnız yoğunlukla güvenilir akustik karakterizasyon yapılamaz.</x:v>
      </x:c>
    </x:row>
    <x:row r="240">
      <x:c r="A240" s="46" t="str">
        <x:v>PU-OPEN-D20-T100</x:v>
      </x:c>
      <x:c r="B240" s="46" t="str">
        <x:v>Diğer gözenekli emici</x:v>
      </x:c>
      <x:c r="C240" s="46" t="str">
        <x:v>Açık hücre PU akustik köpük</x:v>
      </x:c>
      <x:c r="D240" s="46" t="str">
        <x:v>GENERIC</x:v>
      </x:c>
      <x:c r="E240" s="46" t="str">
        <x:v>PU-OPEN</x:v>
      </x:c>
      <x:c r="F240" s="70" t="str">
        <x:v>JCA_STARTING_ESTIMATE</x:v>
      </x:c>
      <x:c r="G240" s="54" t="n">
        <x:v>100</x:v>
      </x:c>
      <x:c r="H240" s="54" t="n">
        <x:v>20</x:v>
      </x:c>
      <x:c r="I240" s="66" t="n">
        <x:v>7000</x:v>
      </x:c>
      <x:c r="J240" s="76" t="n">
        <x:f>IF(OR(G240="",I240=""),"",I240*G240/1000)</x:f>
        <x:v>700</x:v>
      </x:c>
      <x:c r="K240" s="62" t="n">
        <x:v>0.98</x:v>
      </x:c>
      <x:c r="L240" s="62" t="n">
        <x:v>1.08</x:v>
      </x:c>
      <x:c r="M240" s="66" t="n">
        <x:v>120</x:v>
      </x:c>
      <x:c r="N240" s="66" t="n">
        <x:v>240</x:v>
      </x:c>
      <x:c r="O240" s="54" t="n">
        <x:v>80</x:v>
      </x:c>
      <x:c r="P240" s="62" t="n">
        <x:v>0.1</x:v>
      </x:c>
      <x:c r="Q240" s="62" t="n">
        <x:v>0.25</x:v>
      </x:c>
      <x:c r="R240" s="54"/>
      <x:c r="S240" s="62" t="n">
        <x:v>1.204</x:v>
      </x:c>
      <x:c r="T240" s="54" t="n">
        <x:v>343.2</x:v>
      </x:c>
      <x:c r="U240" s="86" t="n">
        <x:f>IF(OR(S240="",T240=""),"",S240*T240)</x:f>
        <x:v>413.21279999999996</x:v>
      </x:c>
      <x:c r="V240" s="46" t="str">
        <x:v>DÜŞÜK</x:v>
      </x:c>
      <x:c r="W240" s="46" t="str"/>
      <x:c r="X240" s="50" t="str">
        <x:v>Mikroyapı ve sıkıştırma bilinmeden yalnız yoğunlukla güvenilir akustik karakterizasyon yapılamaz.</x:v>
      </x:c>
    </x:row>
    <x:row r="241">
      <x:c r="A241" s="46" t="str">
        <x:v>PU-OPEN-D30-T25</x:v>
      </x:c>
      <x:c r="B241" s="46" t="str">
        <x:v>Diğer gözenekli emici</x:v>
      </x:c>
      <x:c r="C241" s="46" t="str">
        <x:v>Açık hücre PU akustik köpük</x:v>
      </x:c>
      <x:c r="D241" s="46" t="str">
        <x:v>GENERIC</x:v>
      </x:c>
      <x:c r="E241" s="46" t="str">
        <x:v>PU-OPEN</x:v>
      </x:c>
      <x:c r="F241" s="70" t="str">
        <x:v>JCA_STARTING_ESTIMATE</x:v>
      </x:c>
      <x:c r="G241" s="54" t="n">
        <x:v>25</x:v>
      </x:c>
      <x:c r="H241" s="54" t="n">
        <x:v>30</x:v>
      </x:c>
      <x:c r="I241" s="66" t="n">
        <x:v>11000</x:v>
      </x:c>
      <x:c r="J241" s="76" t="n">
        <x:f>IF(OR(G241="",I241=""),"",I241*G241/1000)</x:f>
        <x:v>275</x:v>
      </x:c>
      <x:c r="K241" s="62" t="n">
        <x:v>0.98</x:v>
      </x:c>
      <x:c r="L241" s="62" t="n">
        <x:v>1.08</x:v>
      </x:c>
      <x:c r="M241" s="66" t="n">
        <x:v>120</x:v>
      </x:c>
      <x:c r="N241" s="66" t="n">
        <x:v>240</x:v>
      </x:c>
      <x:c r="O241" s="54" t="n">
        <x:v>120</x:v>
      </x:c>
      <x:c r="P241" s="62" t="n">
        <x:v>0.1</x:v>
      </x:c>
      <x:c r="Q241" s="62" t="n">
        <x:v>0.25</x:v>
      </x:c>
      <x:c r="R241" s="54"/>
      <x:c r="S241" s="62" t="n">
        <x:v>1.204</x:v>
      </x:c>
      <x:c r="T241" s="54" t="n">
        <x:v>343.2</x:v>
      </x:c>
      <x:c r="U241" s="86" t="n">
        <x:f>IF(OR(S241="",T241=""),"",S241*T241)</x:f>
        <x:v>413.21279999999996</x:v>
      </x:c>
      <x:c r="V241" s="46" t="str">
        <x:v>DÜŞÜK</x:v>
      </x:c>
      <x:c r="W241" s="46" t="str"/>
      <x:c r="X241" s="50" t="str">
        <x:v>Mikroyapı ve sıkıştırma bilinmeden yalnız yoğunlukla güvenilir akustik karakterizasyon yapılamaz.</x:v>
      </x:c>
    </x:row>
    <x:row r="242">
      <x:c r="A242" s="46" t="str">
        <x:v>PU-OPEN-D30-T50</x:v>
      </x:c>
      <x:c r="B242" s="46" t="str">
        <x:v>Diğer gözenekli emici</x:v>
      </x:c>
      <x:c r="C242" s="46" t="str">
        <x:v>Açık hücre PU akustik köpük</x:v>
      </x:c>
      <x:c r="D242" s="46" t="str">
        <x:v>GENERIC</x:v>
      </x:c>
      <x:c r="E242" s="46" t="str">
        <x:v>PU-OPEN</x:v>
      </x:c>
      <x:c r="F242" s="70" t="str">
        <x:v>JCA_STARTING_ESTIMATE</x:v>
      </x:c>
      <x:c r="G242" s="54" t="n">
        <x:v>50</x:v>
      </x:c>
      <x:c r="H242" s="54" t="n">
        <x:v>30</x:v>
      </x:c>
      <x:c r="I242" s="66" t="n">
        <x:v>11000</x:v>
      </x:c>
      <x:c r="J242" s="76" t="n">
        <x:f>IF(OR(G242="",I242=""),"",I242*G242/1000)</x:f>
        <x:v>550</x:v>
      </x:c>
      <x:c r="K242" s="62" t="n">
        <x:v>0.98</x:v>
      </x:c>
      <x:c r="L242" s="62" t="n">
        <x:v>1.08</x:v>
      </x:c>
      <x:c r="M242" s="66" t="n">
        <x:v>120</x:v>
      </x:c>
      <x:c r="N242" s="66" t="n">
        <x:v>240</x:v>
      </x:c>
      <x:c r="O242" s="54" t="n">
        <x:v>120</x:v>
      </x:c>
      <x:c r="P242" s="62" t="n">
        <x:v>0.1</x:v>
      </x:c>
      <x:c r="Q242" s="62" t="n">
        <x:v>0.25</x:v>
      </x:c>
      <x:c r="R242" s="54"/>
      <x:c r="S242" s="62" t="n">
        <x:v>1.204</x:v>
      </x:c>
      <x:c r="T242" s="54" t="n">
        <x:v>343.2</x:v>
      </x:c>
      <x:c r="U242" s="86" t="n">
        <x:f>IF(OR(S242="",T242=""),"",S242*T242)</x:f>
        <x:v>413.21279999999996</x:v>
      </x:c>
      <x:c r="V242" s="46" t="str">
        <x:v>DÜŞÜK</x:v>
      </x:c>
      <x:c r="W242" s="46" t="str"/>
      <x:c r="X242" s="50" t="str">
        <x:v>Mikroyapı ve sıkıştırma bilinmeden yalnız yoğunlukla güvenilir akustik karakterizasyon yapılamaz.</x:v>
      </x:c>
    </x:row>
    <x:row r="243">
      <x:c r="A243" s="46" t="str">
        <x:v>PU-OPEN-D30-T75</x:v>
      </x:c>
      <x:c r="B243" s="46" t="str">
        <x:v>Diğer gözenekli emici</x:v>
      </x:c>
      <x:c r="C243" s="46" t="str">
        <x:v>Açık hücre PU akustik köpük</x:v>
      </x:c>
      <x:c r="D243" s="46" t="str">
        <x:v>GENERIC</x:v>
      </x:c>
      <x:c r="E243" s="46" t="str">
        <x:v>PU-OPEN</x:v>
      </x:c>
      <x:c r="F243" s="70" t="str">
        <x:v>JCA_STARTING_ESTIMATE</x:v>
      </x:c>
      <x:c r="G243" s="54" t="n">
        <x:v>75</x:v>
      </x:c>
      <x:c r="H243" s="54" t="n">
        <x:v>30</x:v>
      </x:c>
      <x:c r="I243" s="66" t="n">
        <x:v>11000</x:v>
      </x:c>
      <x:c r="J243" s="76" t="n">
        <x:f>IF(OR(G243="",I243=""),"",I243*G243/1000)</x:f>
        <x:v>825</x:v>
      </x:c>
      <x:c r="K243" s="62" t="n">
        <x:v>0.98</x:v>
      </x:c>
      <x:c r="L243" s="62" t="n">
        <x:v>1.08</x:v>
      </x:c>
      <x:c r="M243" s="66" t="n">
        <x:v>120</x:v>
      </x:c>
      <x:c r="N243" s="66" t="n">
        <x:v>240</x:v>
      </x:c>
      <x:c r="O243" s="54" t="n">
        <x:v>120</x:v>
      </x:c>
      <x:c r="P243" s="62" t="n">
        <x:v>0.1</x:v>
      </x:c>
      <x:c r="Q243" s="62" t="n">
        <x:v>0.25</x:v>
      </x:c>
      <x:c r="R243" s="54"/>
      <x:c r="S243" s="62" t="n">
        <x:v>1.204</x:v>
      </x:c>
      <x:c r="T243" s="54" t="n">
        <x:v>343.2</x:v>
      </x:c>
      <x:c r="U243" s="86" t="n">
        <x:f>IF(OR(S243="",T243=""),"",S243*T243)</x:f>
        <x:v>413.21279999999996</x:v>
      </x:c>
      <x:c r="V243" s="46" t="str">
        <x:v>DÜŞÜK</x:v>
      </x:c>
      <x:c r="W243" s="46" t="str"/>
      <x:c r="X243" s="50" t="str">
        <x:v>Mikroyapı ve sıkıştırma bilinmeden yalnız yoğunlukla güvenilir akustik karakterizasyon yapılamaz.</x:v>
      </x:c>
    </x:row>
    <x:row r="244">
      <x:c r="A244" s="46" t="str">
        <x:v>PU-OPEN-D30-T100</x:v>
      </x:c>
      <x:c r="B244" s="46" t="str">
        <x:v>Diğer gözenekli emici</x:v>
      </x:c>
      <x:c r="C244" s="46" t="str">
        <x:v>Açık hücre PU akustik köpük</x:v>
      </x:c>
      <x:c r="D244" s="46" t="str">
        <x:v>GENERIC</x:v>
      </x:c>
      <x:c r="E244" s="46" t="str">
        <x:v>PU-OPEN</x:v>
      </x:c>
      <x:c r="F244" s="70" t="str">
        <x:v>JCA_STARTING_ESTIMATE</x:v>
      </x:c>
      <x:c r="G244" s="54" t="n">
        <x:v>100</x:v>
      </x:c>
      <x:c r="H244" s="54" t="n">
        <x:v>30</x:v>
      </x:c>
      <x:c r="I244" s="66" t="n">
        <x:v>11000</x:v>
      </x:c>
      <x:c r="J244" s="76" t="n">
        <x:f>IF(OR(G244="",I244=""),"",I244*G244/1000)</x:f>
        <x:v>1100</x:v>
      </x:c>
      <x:c r="K244" s="62" t="n">
        <x:v>0.98</x:v>
      </x:c>
      <x:c r="L244" s="62" t="n">
        <x:v>1.08</x:v>
      </x:c>
      <x:c r="M244" s="66" t="n">
        <x:v>120</x:v>
      </x:c>
      <x:c r="N244" s="66" t="n">
        <x:v>240</x:v>
      </x:c>
      <x:c r="O244" s="54" t="n">
        <x:v>120</x:v>
      </x:c>
      <x:c r="P244" s="62" t="n">
        <x:v>0.1</x:v>
      </x:c>
      <x:c r="Q244" s="62" t="n">
        <x:v>0.25</x:v>
      </x:c>
      <x:c r="R244" s="54"/>
      <x:c r="S244" s="62" t="n">
        <x:v>1.204</x:v>
      </x:c>
      <x:c r="T244" s="54" t="n">
        <x:v>343.2</x:v>
      </x:c>
      <x:c r="U244" s="86" t="n">
        <x:f>IF(OR(S244="",T244=""),"",S244*T244)</x:f>
        <x:v>413.21279999999996</x:v>
      </x:c>
      <x:c r="V244" s="46" t="str">
        <x:v>DÜŞÜK</x:v>
      </x:c>
      <x:c r="W244" s="46" t="str"/>
      <x:c r="X244" s="50" t="str">
        <x:v>Mikroyapı ve sıkıştırma bilinmeden yalnız yoğunlukla güvenilir akustik karakterizasyon yapılamaz.</x:v>
      </x:c>
    </x:row>
    <x:row r="245">
      <x:c r="A245" s="46" t="str">
        <x:v>PU-OPEN-D40-T25</x:v>
      </x:c>
      <x:c r="B245" s="46" t="str">
        <x:v>Diğer gözenekli emici</x:v>
      </x:c>
      <x:c r="C245" s="46" t="str">
        <x:v>Açık hücre PU akustik köpük</x:v>
      </x:c>
      <x:c r="D245" s="46" t="str">
        <x:v>GENERIC</x:v>
      </x:c>
      <x:c r="E245" s="46" t="str">
        <x:v>PU-OPEN</x:v>
      </x:c>
      <x:c r="F245" s="70" t="str">
        <x:v>JCA_STARTING_ESTIMATE</x:v>
      </x:c>
      <x:c r="G245" s="54" t="n">
        <x:v>25</x:v>
      </x:c>
      <x:c r="H245" s="54" t="n">
        <x:v>40</x:v>
      </x:c>
      <x:c r="I245" s="66" t="n">
        <x:v>18000</x:v>
      </x:c>
      <x:c r="J245" s="76" t="n">
        <x:f>IF(OR(G245="",I245=""),"",I245*G245/1000)</x:f>
        <x:v>450</x:v>
      </x:c>
      <x:c r="K245" s="62" t="n">
        <x:v>0.98</x:v>
      </x:c>
      <x:c r="L245" s="62" t="n">
        <x:v>1.08</x:v>
      </x:c>
      <x:c r="M245" s="66" t="n">
        <x:v>120</x:v>
      </x:c>
      <x:c r="N245" s="66" t="n">
        <x:v>240</x:v>
      </x:c>
      <x:c r="O245" s="54" t="n">
        <x:v>160</x:v>
      </x:c>
      <x:c r="P245" s="62" t="n">
        <x:v>0.1</x:v>
      </x:c>
      <x:c r="Q245" s="62" t="n">
        <x:v>0.25</x:v>
      </x:c>
      <x:c r="R245" s="54"/>
      <x:c r="S245" s="62" t="n">
        <x:v>1.204</x:v>
      </x:c>
      <x:c r="T245" s="54" t="n">
        <x:v>343.2</x:v>
      </x:c>
      <x:c r="U245" s="86" t="n">
        <x:f>IF(OR(S245="",T245=""),"",S245*T245)</x:f>
        <x:v>413.21279999999996</x:v>
      </x:c>
      <x:c r="V245" s="46" t="str">
        <x:v>DÜŞÜK</x:v>
      </x:c>
      <x:c r="W245" s="46" t="str"/>
      <x:c r="X245" s="50" t="str">
        <x:v>Mikroyapı ve sıkıştırma bilinmeden yalnız yoğunlukla güvenilir akustik karakterizasyon yapılamaz.</x:v>
      </x:c>
    </x:row>
    <x:row r="246">
      <x:c r="A246" s="46" t="str">
        <x:v>PU-OPEN-D40-T50</x:v>
      </x:c>
      <x:c r="B246" s="46" t="str">
        <x:v>Diğer gözenekli emici</x:v>
      </x:c>
      <x:c r="C246" s="46" t="str">
        <x:v>Açık hücre PU akustik köpük</x:v>
      </x:c>
      <x:c r="D246" s="46" t="str">
        <x:v>GENERIC</x:v>
      </x:c>
      <x:c r="E246" s="46" t="str">
        <x:v>PU-OPEN</x:v>
      </x:c>
      <x:c r="F246" s="70" t="str">
        <x:v>JCA_STARTING_ESTIMATE</x:v>
      </x:c>
      <x:c r="G246" s="54" t="n">
        <x:v>50</x:v>
      </x:c>
      <x:c r="H246" s="54" t="n">
        <x:v>40</x:v>
      </x:c>
      <x:c r="I246" s="66" t="n">
        <x:v>18000</x:v>
      </x:c>
      <x:c r="J246" s="76" t="n">
        <x:f>IF(OR(G246="",I246=""),"",I246*G246/1000)</x:f>
        <x:v>900</x:v>
      </x:c>
      <x:c r="K246" s="62" t="n">
        <x:v>0.98</x:v>
      </x:c>
      <x:c r="L246" s="62" t="n">
        <x:v>1.08</x:v>
      </x:c>
      <x:c r="M246" s="66" t="n">
        <x:v>120</x:v>
      </x:c>
      <x:c r="N246" s="66" t="n">
        <x:v>240</x:v>
      </x:c>
      <x:c r="O246" s="54" t="n">
        <x:v>160</x:v>
      </x:c>
      <x:c r="P246" s="62" t="n">
        <x:v>0.1</x:v>
      </x:c>
      <x:c r="Q246" s="62" t="n">
        <x:v>0.25</x:v>
      </x:c>
      <x:c r="R246" s="54"/>
      <x:c r="S246" s="62" t="n">
        <x:v>1.204</x:v>
      </x:c>
      <x:c r="T246" s="54" t="n">
        <x:v>343.2</x:v>
      </x:c>
      <x:c r="U246" s="86" t="n">
        <x:f>IF(OR(S246="",T246=""),"",S246*T246)</x:f>
        <x:v>413.21279999999996</x:v>
      </x:c>
      <x:c r="V246" s="46" t="str">
        <x:v>DÜŞÜK</x:v>
      </x:c>
      <x:c r="W246" s="46" t="str"/>
      <x:c r="X246" s="50" t="str">
        <x:v>Mikroyapı ve sıkıştırma bilinmeden yalnız yoğunlukla güvenilir akustik karakterizasyon yapılamaz.</x:v>
      </x:c>
    </x:row>
    <x:row r="247">
      <x:c r="A247" s="46" t="str">
        <x:v>PU-OPEN-D40-T75</x:v>
      </x:c>
      <x:c r="B247" s="46" t="str">
        <x:v>Diğer gözenekli emici</x:v>
      </x:c>
      <x:c r="C247" s="46" t="str">
        <x:v>Açık hücre PU akustik köpük</x:v>
      </x:c>
      <x:c r="D247" s="46" t="str">
        <x:v>GENERIC</x:v>
      </x:c>
      <x:c r="E247" s="46" t="str">
        <x:v>PU-OPEN</x:v>
      </x:c>
      <x:c r="F247" s="70" t="str">
        <x:v>JCA_STARTING_ESTIMATE</x:v>
      </x:c>
      <x:c r="G247" s="54" t="n">
        <x:v>75</x:v>
      </x:c>
      <x:c r="H247" s="54" t="n">
        <x:v>40</x:v>
      </x:c>
      <x:c r="I247" s="66" t="n">
        <x:v>18000</x:v>
      </x:c>
      <x:c r="J247" s="76" t="n">
        <x:f>IF(OR(G247="",I247=""),"",I247*G247/1000)</x:f>
        <x:v>1350</x:v>
      </x:c>
      <x:c r="K247" s="62" t="n">
        <x:v>0.98</x:v>
      </x:c>
      <x:c r="L247" s="62" t="n">
        <x:v>1.08</x:v>
      </x:c>
      <x:c r="M247" s="66" t="n">
        <x:v>120</x:v>
      </x:c>
      <x:c r="N247" s="66" t="n">
        <x:v>240</x:v>
      </x:c>
      <x:c r="O247" s="54" t="n">
        <x:v>160</x:v>
      </x:c>
      <x:c r="P247" s="62" t="n">
        <x:v>0.1</x:v>
      </x:c>
      <x:c r="Q247" s="62" t="n">
        <x:v>0.25</x:v>
      </x:c>
      <x:c r="R247" s="54"/>
      <x:c r="S247" s="62" t="n">
        <x:v>1.204</x:v>
      </x:c>
      <x:c r="T247" s="54" t="n">
        <x:v>343.2</x:v>
      </x:c>
      <x:c r="U247" s="86" t="n">
        <x:f>IF(OR(S247="",T247=""),"",S247*T247)</x:f>
        <x:v>413.21279999999996</x:v>
      </x:c>
      <x:c r="V247" s="46" t="str">
        <x:v>DÜŞÜK</x:v>
      </x:c>
      <x:c r="W247" s="46" t="str"/>
      <x:c r="X247" s="50" t="str">
        <x:v>Mikroyapı ve sıkıştırma bilinmeden yalnız yoğunlukla güvenilir akustik karakterizasyon yapılamaz.</x:v>
      </x:c>
    </x:row>
    <x:row r="248">
      <x:c r="A248" s="46" t="str">
        <x:v>PU-OPEN-D40-T100</x:v>
      </x:c>
      <x:c r="B248" s="46" t="str">
        <x:v>Diğer gözenekli emici</x:v>
      </x:c>
      <x:c r="C248" s="46" t="str">
        <x:v>Açık hücre PU akustik köpük</x:v>
      </x:c>
      <x:c r="D248" s="46" t="str">
        <x:v>GENERIC</x:v>
      </x:c>
      <x:c r="E248" s="46" t="str">
        <x:v>PU-OPEN</x:v>
      </x:c>
      <x:c r="F248" s="70" t="str">
        <x:v>JCA_STARTING_ESTIMATE</x:v>
      </x:c>
      <x:c r="G248" s="54" t="n">
        <x:v>100</x:v>
      </x:c>
      <x:c r="H248" s="54" t="n">
        <x:v>40</x:v>
      </x:c>
      <x:c r="I248" s="66" t="n">
        <x:v>18000</x:v>
      </x:c>
      <x:c r="J248" s="76" t="n">
        <x:f>IF(OR(G248="",I248=""),"",I248*G248/1000)</x:f>
        <x:v>1800</x:v>
      </x:c>
      <x:c r="K248" s="62" t="n">
        <x:v>0.98</x:v>
      </x:c>
      <x:c r="L248" s="62" t="n">
        <x:v>1.08</x:v>
      </x:c>
      <x:c r="M248" s="66" t="n">
        <x:v>120</x:v>
      </x:c>
      <x:c r="N248" s="66" t="n">
        <x:v>240</x:v>
      </x:c>
      <x:c r="O248" s="54" t="n">
        <x:v>160</x:v>
      </x:c>
      <x:c r="P248" s="62" t="n">
        <x:v>0.1</x:v>
      </x:c>
      <x:c r="Q248" s="62" t="n">
        <x:v>0.25</x:v>
      </x:c>
      <x:c r="R248" s="54"/>
      <x:c r="S248" s="62" t="n">
        <x:v>1.204</x:v>
      </x:c>
      <x:c r="T248" s="54" t="n">
        <x:v>343.2</x:v>
      </x:c>
      <x:c r="U248" s="86" t="n">
        <x:f>IF(OR(S248="",T248=""),"",S248*T248)</x:f>
        <x:v>413.21279999999996</x:v>
      </x:c>
      <x:c r="V248" s="46" t="str">
        <x:v>DÜŞÜK</x:v>
      </x:c>
      <x:c r="W248" s="46" t="str"/>
      <x:c r="X248" s="50" t="str">
        <x:v>Mikroyapı ve sıkıştırma bilinmeden yalnız yoğunlukla güvenilir akustik karakterizasyon yapılamaz.</x:v>
      </x:c>
    </x:row>
    <x:row r="249">
      <x:c r="A249" s="46" t="str">
        <x:v>CELLULOSE-D30-T25</x:v>
      </x:c>
      <x:c r="B249" s="46" t="str">
        <x:v>Diğer gözenekli emici</x:v>
      </x:c>
      <x:c r="C249" s="46" t="str">
        <x:v>Üfleme selüloz</x:v>
      </x:c>
      <x:c r="D249" s="46" t="str">
        <x:v>GENERIC</x:v>
      </x:c>
      <x:c r="E249" s="46" t="str">
        <x:v>CELLULOSE</x:v>
      </x:c>
      <x:c r="F249" s="70" t="str">
        <x:v>JCA_STARTING_ESTIMATE</x:v>
      </x:c>
      <x:c r="G249" s="54" t="n">
        <x:v>25</x:v>
      </x:c>
      <x:c r="H249" s="54" t="n">
        <x:v>30</x:v>
      </x:c>
      <x:c r="I249" s="66" t="n">
        <x:v>4000</x:v>
      </x:c>
      <x:c r="J249" s="76" t="n">
        <x:f>IF(OR(G249="",I249=""),"",I249*G249/1000)</x:f>
        <x:v>100</x:v>
      </x:c>
      <x:c r="K249" s="62" t="n">
        <x:v>0.95</x:v>
      </x:c>
      <x:c r="L249" s="62" t="n">
        <x:v>1.15</x:v>
      </x:c>
      <x:c r="M249" s="66" t="n">
        <x:v>120</x:v>
      </x:c>
      <x:c r="N249" s="66" t="n">
        <x:v>240</x:v>
      </x:c>
      <x:c r="O249" s="54" t="n">
        <x:v>120</x:v>
      </x:c>
      <x:c r="P249" s="62" t="n">
        <x:v>0.1</x:v>
      </x:c>
      <x:c r="Q249" s="62" t="n">
        <x:v>0.25</x:v>
      </x:c>
      <x:c r="R249" s="54"/>
      <x:c r="S249" s="62" t="n">
        <x:v>1.204</x:v>
      </x:c>
      <x:c r="T249" s="54" t="n">
        <x:v>343.2</x:v>
      </x:c>
      <x:c r="U249" s="86" t="n">
        <x:f>IF(OR(S249="",T249=""),"",S249*T249)</x:f>
        <x:v>413.21279999999996</x:v>
      </x:c>
      <x:c r="V249" s="46" t="str">
        <x:v>DÜŞÜK</x:v>
      </x:c>
      <x:c r="W249" s="46" t="str"/>
      <x:c r="X249" s="50" t="str">
        <x:v>Mikroyapı ve sıkıştırma bilinmeden yalnız yoğunlukla güvenilir akustik karakterizasyon yapılamaz.</x:v>
      </x:c>
    </x:row>
    <x:row r="250">
      <x:c r="A250" s="46" t="str">
        <x:v>CELLULOSE-D30-T50</x:v>
      </x:c>
      <x:c r="B250" s="46" t="str">
        <x:v>Diğer gözenekli emici</x:v>
      </x:c>
      <x:c r="C250" s="46" t="str">
        <x:v>Üfleme selüloz</x:v>
      </x:c>
      <x:c r="D250" s="46" t="str">
        <x:v>GENERIC</x:v>
      </x:c>
      <x:c r="E250" s="46" t="str">
        <x:v>CELLULOSE</x:v>
      </x:c>
      <x:c r="F250" s="70" t="str">
        <x:v>JCA_STARTING_ESTIMATE</x:v>
      </x:c>
      <x:c r="G250" s="54" t="n">
        <x:v>50</x:v>
      </x:c>
      <x:c r="H250" s="54" t="n">
        <x:v>30</x:v>
      </x:c>
      <x:c r="I250" s="66" t="n">
        <x:v>4000</x:v>
      </x:c>
      <x:c r="J250" s="76" t="n">
        <x:f>IF(OR(G250="",I250=""),"",I250*G250/1000)</x:f>
        <x:v>200</x:v>
      </x:c>
      <x:c r="K250" s="62" t="n">
        <x:v>0.95</x:v>
      </x:c>
      <x:c r="L250" s="62" t="n">
        <x:v>1.15</x:v>
      </x:c>
      <x:c r="M250" s="66" t="n">
        <x:v>120</x:v>
      </x:c>
      <x:c r="N250" s="66" t="n">
        <x:v>240</x:v>
      </x:c>
      <x:c r="O250" s="54" t="n">
        <x:v>120</x:v>
      </x:c>
      <x:c r="P250" s="62" t="n">
        <x:v>0.1</x:v>
      </x:c>
      <x:c r="Q250" s="62" t="n">
        <x:v>0.25</x:v>
      </x:c>
      <x:c r="R250" s="54"/>
      <x:c r="S250" s="62" t="n">
        <x:v>1.204</x:v>
      </x:c>
      <x:c r="T250" s="54" t="n">
        <x:v>343.2</x:v>
      </x:c>
      <x:c r="U250" s="86" t="n">
        <x:f>IF(OR(S250="",T250=""),"",S250*T250)</x:f>
        <x:v>413.21279999999996</x:v>
      </x:c>
      <x:c r="V250" s="46" t="str">
        <x:v>DÜŞÜK</x:v>
      </x:c>
      <x:c r="W250" s="46" t="str"/>
      <x:c r="X250" s="50" t="str">
        <x:v>Mikroyapı ve sıkıştırma bilinmeden yalnız yoğunlukla güvenilir akustik karakterizasyon yapılamaz.</x:v>
      </x:c>
    </x:row>
    <x:row r="251">
      <x:c r="A251" s="46" t="str">
        <x:v>CELLULOSE-D30-T75</x:v>
      </x:c>
      <x:c r="B251" s="46" t="str">
        <x:v>Diğer gözenekli emici</x:v>
      </x:c>
      <x:c r="C251" s="46" t="str">
        <x:v>Üfleme selüloz</x:v>
      </x:c>
      <x:c r="D251" s="46" t="str">
        <x:v>GENERIC</x:v>
      </x:c>
      <x:c r="E251" s="46" t="str">
        <x:v>CELLULOSE</x:v>
      </x:c>
      <x:c r="F251" s="70" t="str">
        <x:v>JCA_STARTING_ESTIMATE</x:v>
      </x:c>
      <x:c r="G251" s="54" t="n">
        <x:v>75</x:v>
      </x:c>
      <x:c r="H251" s="54" t="n">
        <x:v>30</x:v>
      </x:c>
      <x:c r="I251" s="66" t="n">
        <x:v>4000</x:v>
      </x:c>
      <x:c r="J251" s="76" t="n">
        <x:f>IF(OR(G251="",I251=""),"",I251*G251/1000)</x:f>
        <x:v>300</x:v>
      </x:c>
      <x:c r="K251" s="62" t="n">
        <x:v>0.95</x:v>
      </x:c>
      <x:c r="L251" s="62" t="n">
        <x:v>1.15</x:v>
      </x:c>
      <x:c r="M251" s="66" t="n">
        <x:v>120</x:v>
      </x:c>
      <x:c r="N251" s="66" t="n">
        <x:v>240</x:v>
      </x:c>
      <x:c r="O251" s="54" t="n">
        <x:v>120</x:v>
      </x:c>
      <x:c r="P251" s="62" t="n">
        <x:v>0.1</x:v>
      </x:c>
      <x:c r="Q251" s="62" t="n">
        <x:v>0.25</x:v>
      </x:c>
      <x:c r="R251" s="54"/>
      <x:c r="S251" s="62" t="n">
        <x:v>1.204</x:v>
      </x:c>
      <x:c r="T251" s="54" t="n">
        <x:v>343.2</x:v>
      </x:c>
      <x:c r="U251" s="86" t="n">
        <x:f>IF(OR(S251="",T251=""),"",S251*T251)</x:f>
        <x:v>413.21279999999996</x:v>
      </x:c>
      <x:c r="V251" s="46" t="str">
        <x:v>DÜŞÜK</x:v>
      </x:c>
      <x:c r="W251" s="46" t="str"/>
      <x:c r="X251" s="50" t="str">
        <x:v>Mikroyapı ve sıkıştırma bilinmeden yalnız yoğunlukla güvenilir akustik karakterizasyon yapılamaz.</x:v>
      </x:c>
    </x:row>
    <x:row r="252">
      <x:c r="A252" s="46" t="str">
        <x:v>CELLULOSE-D30-T100</x:v>
      </x:c>
      <x:c r="B252" s="46" t="str">
        <x:v>Diğer gözenekli emici</x:v>
      </x:c>
      <x:c r="C252" s="46" t="str">
        <x:v>Üfleme selüloz</x:v>
      </x:c>
      <x:c r="D252" s="46" t="str">
        <x:v>GENERIC</x:v>
      </x:c>
      <x:c r="E252" s="46" t="str">
        <x:v>CELLULOSE</x:v>
      </x:c>
      <x:c r="F252" s="70" t="str">
        <x:v>JCA_STARTING_ESTIMATE</x:v>
      </x:c>
      <x:c r="G252" s="54" t="n">
        <x:v>100</x:v>
      </x:c>
      <x:c r="H252" s="54" t="n">
        <x:v>30</x:v>
      </x:c>
      <x:c r="I252" s="66" t="n">
        <x:v>4000</x:v>
      </x:c>
      <x:c r="J252" s="76" t="n">
        <x:f>IF(OR(G252="",I252=""),"",I252*G252/1000)</x:f>
        <x:v>400</x:v>
      </x:c>
      <x:c r="K252" s="62" t="n">
        <x:v>0.95</x:v>
      </x:c>
      <x:c r="L252" s="62" t="n">
        <x:v>1.15</x:v>
      </x:c>
      <x:c r="M252" s="66" t="n">
        <x:v>120</x:v>
      </x:c>
      <x:c r="N252" s="66" t="n">
        <x:v>240</x:v>
      </x:c>
      <x:c r="O252" s="54" t="n">
        <x:v>120</x:v>
      </x:c>
      <x:c r="P252" s="62" t="n">
        <x:v>0.1</x:v>
      </x:c>
      <x:c r="Q252" s="62" t="n">
        <x:v>0.25</x:v>
      </x:c>
      <x:c r="R252" s="54"/>
      <x:c r="S252" s="62" t="n">
        <x:v>1.204</x:v>
      </x:c>
      <x:c r="T252" s="54" t="n">
        <x:v>343.2</x:v>
      </x:c>
      <x:c r="U252" s="86" t="n">
        <x:f>IF(OR(S252="",T252=""),"",S252*T252)</x:f>
        <x:v>413.21279999999996</x:v>
      </x:c>
      <x:c r="V252" s="46" t="str">
        <x:v>DÜŞÜK</x:v>
      </x:c>
      <x:c r="W252" s="46" t="str"/>
      <x:c r="X252" s="50" t="str">
        <x:v>Mikroyapı ve sıkıştırma bilinmeden yalnız yoğunlukla güvenilir akustik karakterizasyon yapılamaz.</x:v>
      </x:c>
    </x:row>
    <x:row r="253">
      <x:c r="A253" s="46" t="str">
        <x:v>CELLULOSE-D45-T25</x:v>
      </x:c>
      <x:c r="B253" s="46" t="str">
        <x:v>Diğer gözenekli emici</x:v>
      </x:c>
      <x:c r="C253" s="46" t="str">
        <x:v>Üfleme selüloz</x:v>
      </x:c>
      <x:c r="D253" s="46" t="str">
        <x:v>GENERIC</x:v>
      </x:c>
      <x:c r="E253" s="46" t="str">
        <x:v>CELLULOSE</x:v>
      </x:c>
      <x:c r="F253" s="70" t="str">
        <x:v>JCA_STARTING_ESTIMATE</x:v>
      </x:c>
      <x:c r="G253" s="54" t="n">
        <x:v>25</x:v>
      </x:c>
      <x:c r="H253" s="54" t="n">
        <x:v>45</x:v>
      </x:c>
      <x:c r="I253" s="66" t="n">
        <x:v>7000</x:v>
      </x:c>
      <x:c r="J253" s="76" t="n">
        <x:f>IF(OR(G253="",I253=""),"",I253*G253/1000)</x:f>
        <x:v>175</x:v>
      </x:c>
      <x:c r="K253" s="62" t="n">
        <x:v>0.95</x:v>
      </x:c>
      <x:c r="L253" s="62" t="n">
        <x:v>1.15</x:v>
      </x:c>
      <x:c r="M253" s="66" t="n">
        <x:v>120</x:v>
      </x:c>
      <x:c r="N253" s="66" t="n">
        <x:v>240</x:v>
      </x:c>
      <x:c r="O253" s="54" t="n">
        <x:v>180</x:v>
      </x:c>
      <x:c r="P253" s="62" t="n">
        <x:v>0.1</x:v>
      </x:c>
      <x:c r="Q253" s="62" t="n">
        <x:v>0.25</x:v>
      </x:c>
      <x:c r="R253" s="54"/>
      <x:c r="S253" s="62" t="n">
        <x:v>1.204</x:v>
      </x:c>
      <x:c r="T253" s="54" t="n">
        <x:v>343.2</x:v>
      </x:c>
      <x:c r="U253" s="86" t="n">
        <x:f>IF(OR(S253="",T253=""),"",S253*T253)</x:f>
        <x:v>413.21279999999996</x:v>
      </x:c>
      <x:c r="V253" s="46" t="str">
        <x:v>DÜŞÜK</x:v>
      </x:c>
      <x:c r="W253" s="46" t="str"/>
      <x:c r="X253" s="50" t="str">
        <x:v>Mikroyapı ve sıkıştırma bilinmeden yalnız yoğunlukla güvenilir akustik karakterizasyon yapılamaz.</x:v>
      </x:c>
    </x:row>
    <x:row r="254">
      <x:c r="A254" s="46" t="str">
        <x:v>CELLULOSE-D45-T50</x:v>
      </x:c>
      <x:c r="B254" s="46" t="str">
        <x:v>Diğer gözenekli emici</x:v>
      </x:c>
      <x:c r="C254" s="46" t="str">
        <x:v>Üfleme selüloz</x:v>
      </x:c>
      <x:c r="D254" s="46" t="str">
        <x:v>GENERIC</x:v>
      </x:c>
      <x:c r="E254" s="46" t="str">
        <x:v>CELLULOSE</x:v>
      </x:c>
      <x:c r="F254" s="70" t="str">
        <x:v>JCA_STARTING_ESTIMATE</x:v>
      </x:c>
      <x:c r="G254" s="54" t="n">
        <x:v>50</x:v>
      </x:c>
      <x:c r="H254" s="54" t="n">
        <x:v>45</x:v>
      </x:c>
      <x:c r="I254" s="66" t="n">
        <x:v>7000</x:v>
      </x:c>
      <x:c r="J254" s="76" t="n">
        <x:f>IF(OR(G254="",I254=""),"",I254*G254/1000)</x:f>
        <x:v>350</x:v>
      </x:c>
      <x:c r="K254" s="62" t="n">
        <x:v>0.95</x:v>
      </x:c>
      <x:c r="L254" s="62" t="n">
        <x:v>1.15</x:v>
      </x:c>
      <x:c r="M254" s="66" t="n">
        <x:v>120</x:v>
      </x:c>
      <x:c r="N254" s="66" t="n">
        <x:v>240</x:v>
      </x:c>
      <x:c r="O254" s="54" t="n">
        <x:v>180</x:v>
      </x:c>
      <x:c r="P254" s="62" t="n">
        <x:v>0.1</x:v>
      </x:c>
      <x:c r="Q254" s="62" t="n">
        <x:v>0.25</x:v>
      </x:c>
      <x:c r="R254" s="54"/>
      <x:c r="S254" s="62" t="n">
        <x:v>1.204</x:v>
      </x:c>
      <x:c r="T254" s="54" t="n">
        <x:v>343.2</x:v>
      </x:c>
      <x:c r="U254" s="86" t="n">
        <x:f>IF(OR(S254="",T254=""),"",S254*T254)</x:f>
        <x:v>413.21279999999996</x:v>
      </x:c>
      <x:c r="V254" s="46" t="str">
        <x:v>DÜŞÜK</x:v>
      </x:c>
      <x:c r="W254" s="46" t="str"/>
      <x:c r="X254" s="50" t="str">
        <x:v>Mikroyapı ve sıkıştırma bilinmeden yalnız yoğunlukla güvenilir akustik karakterizasyon yapılamaz.</x:v>
      </x:c>
    </x:row>
    <x:row r="255">
      <x:c r="A255" s="46" t="str">
        <x:v>CELLULOSE-D45-T75</x:v>
      </x:c>
      <x:c r="B255" s="46" t="str">
        <x:v>Diğer gözenekli emici</x:v>
      </x:c>
      <x:c r="C255" s="46" t="str">
        <x:v>Üfleme selüloz</x:v>
      </x:c>
      <x:c r="D255" s="46" t="str">
        <x:v>GENERIC</x:v>
      </x:c>
      <x:c r="E255" s="46" t="str">
        <x:v>CELLULOSE</x:v>
      </x:c>
      <x:c r="F255" s="70" t="str">
        <x:v>JCA_STARTING_ESTIMATE</x:v>
      </x:c>
      <x:c r="G255" s="54" t="n">
        <x:v>75</x:v>
      </x:c>
      <x:c r="H255" s="54" t="n">
        <x:v>45</x:v>
      </x:c>
      <x:c r="I255" s="66" t="n">
        <x:v>7000</x:v>
      </x:c>
      <x:c r="J255" s="76" t="n">
        <x:f>IF(OR(G255="",I255=""),"",I255*G255/1000)</x:f>
        <x:v>525</x:v>
      </x:c>
      <x:c r="K255" s="62" t="n">
        <x:v>0.95</x:v>
      </x:c>
      <x:c r="L255" s="62" t="n">
        <x:v>1.15</x:v>
      </x:c>
      <x:c r="M255" s="66" t="n">
        <x:v>120</x:v>
      </x:c>
      <x:c r="N255" s="66" t="n">
        <x:v>240</x:v>
      </x:c>
      <x:c r="O255" s="54" t="n">
        <x:v>180</x:v>
      </x:c>
      <x:c r="P255" s="62" t="n">
        <x:v>0.1</x:v>
      </x:c>
      <x:c r="Q255" s="62" t="n">
        <x:v>0.25</x:v>
      </x:c>
      <x:c r="R255" s="54"/>
      <x:c r="S255" s="62" t="n">
        <x:v>1.204</x:v>
      </x:c>
      <x:c r="T255" s="54" t="n">
        <x:v>343.2</x:v>
      </x:c>
      <x:c r="U255" s="86" t="n">
        <x:f>IF(OR(S255="",T255=""),"",S255*T255)</x:f>
        <x:v>413.21279999999996</x:v>
      </x:c>
      <x:c r="V255" s="46" t="str">
        <x:v>DÜŞÜK</x:v>
      </x:c>
      <x:c r="W255" s="46" t="str"/>
      <x:c r="X255" s="50" t="str">
        <x:v>Mikroyapı ve sıkıştırma bilinmeden yalnız yoğunlukla güvenilir akustik karakterizasyon yapılamaz.</x:v>
      </x:c>
    </x:row>
    <x:row r="256">
      <x:c r="A256" s="46" t="str">
        <x:v>CELLULOSE-D45-T100</x:v>
      </x:c>
      <x:c r="B256" s="46" t="str">
        <x:v>Diğer gözenekli emici</x:v>
      </x:c>
      <x:c r="C256" s="46" t="str">
        <x:v>Üfleme selüloz</x:v>
      </x:c>
      <x:c r="D256" s="46" t="str">
        <x:v>GENERIC</x:v>
      </x:c>
      <x:c r="E256" s="46" t="str">
        <x:v>CELLULOSE</x:v>
      </x:c>
      <x:c r="F256" s="70" t="str">
        <x:v>JCA_STARTING_ESTIMATE</x:v>
      </x:c>
      <x:c r="G256" s="54" t="n">
        <x:v>100</x:v>
      </x:c>
      <x:c r="H256" s="54" t="n">
        <x:v>45</x:v>
      </x:c>
      <x:c r="I256" s="66" t="n">
        <x:v>7000</x:v>
      </x:c>
      <x:c r="J256" s="76" t="n">
        <x:f>IF(OR(G256="",I256=""),"",I256*G256/1000)</x:f>
        <x:v>700</x:v>
      </x:c>
      <x:c r="K256" s="62" t="n">
        <x:v>0.95</x:v>
      </x:c>
      <x:c r="L256" s="62" t="n">
        <x:v>1.15</x:v>
      </x:c>
      <x:c r="M256" s="66" t="n">
        <x:v>120</x:v>
      </x:c>
      <x:c r="N256" s="66" t="n">
        <x:v>240</x:v>
      </x:c>
      <x:c r="O256" s="54" t="n">
        <x:v>180</x:v>
      </x:c>
      <x:c r="P256" s="62" t="n">
        <x:v>0.1</x:v>
      </x:c>
      <x:c r="Q256" s="62" t="n">
        <x:v>0.25</x:v>
      </x:c>
      <x:c r="R256" s="54"/>
      <x:c r="S256" s="62" t="n">
        <x:v>1.204</x:v>
      </x:c>
      <x:c r="T256" s="54" t="n">
        <x:v>343.2</x:v>
      </x:c>
      <x:c r="U256" s="86" t="n">
        <x:f>IF(OR(S256="",T256=""),"",S256*T256)</x:f>
        <x:v>413.21279999999996</x:v>
      </x:c>
      <x:c r="V256" s="46" t="str">
        <x:v>DÜŞÜK</x:v>
      </x:c>
      <x:c r="W256" s="46" t="str"/>
      <x:c r="X256" s="50" t="str">
        <x:v>Mikroyapı ve sıkıştırma bilinmeden yalnız yoğunlukla güvenilir akustik karakterizasyon yapılamaz.</x:v>
      </x:c>
    </x:row>
    <x:row r="257">
      <x:c r="A257" s="46" t="str">
        <x:v>CELLULOSE-D60-T25</x:v>
      </x:c>
      <x:c r="B257" s="46" t="str">
        <x:v>Diğer gözenekli emici</x:v>
      </x:c>
      <x:c r="C257" s="46" t="str">
        <x:v>Üfleme selüloz</x:v>
      </x:c>
      <x:c r="D257" s="46" t="str">
        <x:v>GENERIC</x:v>
      </x:c>
      <x:c r="E257" s="46" t="str">
        <x:v>CELLULOSE</x:v>
      </x:c>
      <x:c r="F257" s="70" t="str">
        <x:v>JCA_STARTING_ESTIMATE</x:v>
      </x:c>
      <x:c r="G257" s="54" t="n">
        <x:v>25</x:v>
      </x:c>
      <x:c r="H257" s="54" t="n">
        <x:v>60</x:v>
      </x:c>
      <x:c r="I257" s="66" t="n">
        <x:v>11000</x:v>
      </x:c>
      <x:c r="J257" s="76" t="n">
        <x:f>IF(OR(G257="",I257=""),"",I257*G257/1000)</x:f>
        <x:v>275</x:v>
      </x:c>
      <x:c r="K257" s="62" t="n">
        <x:v>0.95</x:v>
      </x:c>
      <x:c r="L257" s="62" t="n">
        <x:v>1.15</x:v>
      </x:c>
      <x:c r="M257" s="66" t="n">
        <x:v>120</x:v>
      </x:c>
      <x:c r="N257" s="66" t="n">
        <x:v>240</x:v>
      </x:c>
      <x:c r="O257" s="54" t="n">
        <x:v>240</x:v>
      </x:c>
      <x:c r="P257" s="62" t="n">
        <x:v>0.1</x:v>
      </x:c>
      <x:c r="Q257" s="62" t="n">
        <x:v>0.25</x:v>
      </x:c>
      <x:c r="R257" s="54"/>
      <x:c r="S257" s="62" t="n">
        <x:v>1.204</x:v>
      </x:c>
      <x:c r="T257" s="54" t="n">
        <x:v>343.2</x:v>
      </x:c>
      <x:c r="U257" s="86" t="n">
        <x:f>IF(OR(S257="",T257=""),"",S257*T257)</x:f>
        <x:v>413.21279999999996</x:v>
      </x:c>
      <x:c r="V257" s="46" t="str">
        <x:v>DÜŞÜK</x:v>
      </x:c>
      <x:c r="W257" s="46" t="str"/>
      <x:c r="X257" s="50" t="str">
        <x:v>Mikroyapı ve sıkıştırma bilinmeden yalnız yoğunlukla güvenilir akustik karakterizasyon yapılamaz.</x:v>
      </x:c>
    </x:row>
    <x:row r="258">
      <x:c r="A258" s="46" t="str">
        <x:v>CELLULOSE-D60-T50</x:v>
      </x:c>
      <x:c r="B258" s="46" t="str">
        <x:v>Diğer gözenekli emici</x:v>
      </x:c>
      <x:c r="C258" s="46" t="str">
        <x:v>Üfleme selüloz</x:v>
      </x:c>
      <x:c r="D258" s="46" t="str">
        <x:v>GENERIC</x:v>
      </x:c>
      <x:c r="E258" s="46" t="str">
        <x:v>CELLULOSE</x:v>
      </x:c>
      <x:c r="F258" s="70" t="str">
        <x:v>JCA_STARTING_ESTIMATE</x:v>
      </x:c>
      <x:c r="G258" s="54" t="n">
        <x:v>50</x:v>
      </x:c>
      <x:c r="H258" s="54" t="n">
        <x:v>60</x:v>
      </x:c>
      <x:c r="I258" s="66" t="n">
        <x:v>11000</x:v>
      </x:c>
      <x:c r="J258" s="76" t="n">
        <x:f>IF(OR(G258="",I258=""),"",I258*G258/1000)</x:f>
        <x:v>550</x:v>
      </x:c>
      <x:c r="K258" s="62" t="n">
        <x:v>0.95</x:v>
      </x:c>
      <x:c r="L258" s="62" t="n">
        <x:v>1.15</x:v>
      </x:c>
      <x:c r="M258" s="66" t="n">
        <x:v>120</x:v>
      </x:c>
      <x:c r="N258" s="66" t="n">
        <x:v>240</x:v>
      </x:c>
      <x:c r="O258" s="54" t="n">
        <x:v>240</x:v>
      </x:c>
      <x:c r="P258" s="62" t="n">
        <x:v>0.1</x:v>
      </x:c>
      <x:c r="Q258" s="62" t="n">
        <x:v>0.25</x:v>
      </x:c>
      <x:c r="R258" s="54"/>
      <x:c r="S258" s="62" t="n">
        <x:v>1.204</x:v>
      </x:c>
      <x:c r="T258" s="54" t="n">
        <x:v>343.2</x:v>
      </x:c>
      <x:c r="U258" s="86" t="n">
        <x:f>IF(OR(S258="",T258=""),"",S258*T258)</x:f>
        <x:v>413.21279999999996</x:v>
      </x:c>
      <x:c r="V258" s="46" t="str">
        <x:v>DÜŞÜK</x:v>
      </x:c>
      <x:c r="W258" s="46" t="str"/>
      <x:c r="X258" s="50" t="str">
        <x:v>Mikroyapı ve sıkıştırma bilinmeden yalnız yoğunlukla güvenilir akustik karakterizasyon yapılamaz.</x:v>
      </x:c>
    </x:row>
    <x:row r="259">
      <x:c r="A259" s="46" t="str">
        <x:v>CELLULOSE-D60-T75</x:v>
      </x:c>
      <x:c r="B259" s="46" t="str">
        <x:v>Diğer gözenekli emici</x:v>
      </x:c>
      <x:c r="C259" s="46" t="str">
        <x:v>Üfleme selüloz</x:v>
      </x:c>
      <x:c r="D259" s="46" t="str">
        <x:v>GENERIC</x:v>
      </x:c>
      <x:c r="E259" s="46" t="str">
        <x:v>CELLULOSE</x:v>
      </x:c>
      <x:c r="F259" s="70" t="str">
        <x:v>JCA_STARTING_ESTIMATE</x:v>
      </x:c>
      <x:c r="G259" s="54" t="n">
        <x:v>75</x:v>
      </x:c>
      <x:c r="H259" s="54" t="n">
        <x:v>60</x:v>
      </x:c>
      <x:c r="I259" s="66" t="n">
        <x:v>11000</x:v>
      </x:c>
      <x:c r="J259" s="76" t="n">
        <x:f>IF(OR(G259="",I259=""),"",I259*G259/1000)</x:f>
        <x:v>825</x:v>
      </x:c>
      <x:c r="K259" s="62" t="n">
        <x:v>0.95</x:v>
      </x:c>
      <x:c r="L259" s="62" t="n">
        <x:v>1.15</x:v>
      </x:c>
      <x:c r="M259" s="66" t="n">
        <x:v>120</x:v>
      </x:c>
      <x:c r="N259" s="66" t="n">
        <x:v>240</x:v>
      </x:c>
      <x:c r="O259" s="54" t="n">
        <x:v>240</x:v>
      </x:c>
      <x:c r="P259" s="62" t="n">
        <x:v>0.1</x:v>
      </x:c>
      <x:c r="Q259" s="62" t="n">
        <x:v>0.25</x:v>
      </x:c>
      <x:c r="R259" s="54"/>
      <x:c r="S259" s="62" t="n">
        <x:v>1.204</x:v>
      </x:c>
      <x:c r="T259" s="54" t="n">
        <x:v>343.2</x:v>
      </x:c>
      <x:c r="U259" s="86" t="n">
        <x:f>IF(OR(S259="",T259=""),"",S259*T259)</x:f>
        <x:v>413.21279999999996</x:v>
      </x:c>
      <x:c r="V259" s="46" t="str">
        <x:v>DÜŞÜK</x:v>
      </x:c>
      <x:c r="W259" s="46" t="str"/>
      <x:c r="X259" s="50" t="str">
        <x:v>Mikroyapı ve sıkıştırma bilinmeden yalnız yoğunlukla güvenilir akustik karakterizasyon yapılamaz.</x:v>
      </x:c>
    </x:row>
    <x:row r="260">
      <x:c r="A260" s="46" t="str">
        <x:v>CELLULOSE-D60-T100</x:v>
      </x:c>
      <x:c r="B260" s="46" t="str">
        <x:v>Diğer gözenekli emici</x:v>
      </x:c>
      <x:c r="C260" s="46" t="str">
        <x:v>Üfleme selüloz</x:v>
      </x:c>
      <x:c r="D260" s="46" t="str">
        <x:v>GENERIC</x:v>
      </x:c>
      <x:c r="E260" s="46" t="str">
        <x:v>CELLULOSE</x:v>
      </x:c>
      <x:c r="F260" s="70" t="str">
        <x:v>JCA_STARTING_ESTIMATE</x:v>
      </x:c>
      <x:c r="G260" s="54" t="n">
        <x:v>100</x:v>
      </x:c>
      <x:c r="H260" s="54" t="n">
        <x:v>60</x:v>
      </x:c>
      <x:c r="I260" s="66" t="n">
        <x:v>11000</x:v>
      </x:c>
      <x:c r="J260" s="76" t="n">
        <x:f>IF(OR(G260="",I260=""),"",I260*G260/1000)</x:f>
        <x:v>1100</x:v>
      </x:c>
      <x:c r="K260" s="62" t="n">
        <x:v>0.95</x:v>
      </x:c>
      <x:c r="L260" s="62" t="n">
        <x:v>1.15</x:v>
      </x:c>
      <x:c r="M260" s="66" t="n">
        <x:v>120</x:v>
      </x:c>
      <x:c r="N260" s="66" t="n">
        <x:v>240</x:v>
      </x:c>
      <x:c r="O260" s="54" t="n">
        <x:v>240</x:v>
      </x:c>
      <x:c r="P260" s="62" t="n">
        <x:v>0.1</x:v>
      </x:c>
      <x:c r="Q260" s="62" t="n">
        <x:v>0.25</x:v>
      </x:c>
      <x:c r="R260" s="54"/>
      <x:c r="S260" s="62" t="n">
        <x:v>1.204</x:v>
      </x:c>
      <x:c r="T260" s="54" t="n">
        <x:v>343.2</x:v>
      </x:c>
      <x:c r="U260" s="86" t="n">
        <x:f>IF(OR(S260="",T260=""),"",S260*T260)</x:f>
        <x:v>413.21279999999996</x:v>
      </x:c>
      <x:c r="V260" s="46" t="str">
        <x:v>DÜŞÜK</x:v>
      </x:c>
      <x:c r="W260" s="46" t="str"/>
      <x:c r="X260" s="50" t="str">
        <x:v>Mikroyapı ve sıkıştırma bilinmeden yalnız yoğunlukla güvenilir akustik karakterizasyon yapılamaz.</x:v>
      </x:c>
    </x:row>
    <x:row r="261">
      <x:c r="A261" s="46" t="str">
        <x:v>WOOD-FIBRE-D50-T25</x:v>
      </x:c>
      <x:c r="B261" s="46" t="str">
        <x:v>Diğer gözenekli emici</x:v>
      </x:c>
      <x:c r="C261" s="46" t="str">
        <x:v>Ahşap lif levha</x:v>
      </x:c>
      <x:c r="D261" s="46" t="str">
        <x:v>GENERIC</x:v>
      </x:c>
      <x:c r="E261" s="46" t="str">
        <x:v>WOOD-FIBRE</x:v>
      </x:c>
      <x:c r="F261" s="70" t="str">
        <x:v>JCA_STARTING_ESTIMATE</x:v>
      </x:c>
      <x:c r="G261" s="54" t="n">
        <x:v>25</x:v>
      </x:c>
      <x:c r="H261" s="54" t="n">
        <x:v>50</x:v>
      </x:c>
      <x:c r="I261" s="66" t="n">
        <x:v>10000</x:v>
      </x:c>
      <x:c r="J261" s="76" t="n">
        <x:f>IF(OR(G261="",I261=""),"",I261*G261/1000)</x:f>
        <x:v>250</x:v>
      </x:c>
      <x:c r="K261" s="62" t="n">
        <x:v>0.9</x:v>
      </x:c>
      <x:c r="L261" s="62" t="n">
        <x:v>1.25</x:v>
      </x:c>
      <x:c r="M261" s="66" t="n">
        <x:v>120</x:v>
      </x:c>
      <x:c r="N261" s="66" t="n">
        <x:v>240</x:v>
      </x:c>
      <x:c r="O261" s="54" t="n">
        <x:v>200</x:v>
      </x:c>
      <x:c r="P261" s="62" t="n">
        <x:v>0.1</x:v>
      </x:c>
      <x:c r="Q261" s="62" t="n">
        <x:v>0.25</x:v>
      </x:c>
      <x:c r="R261" s="54"/>
      <x:c r="S261" s="62" t="n">
        <x:v>1.204</x:v>
      </x:c>
      <x:c r="T261" s="54" t="n">
        <x:v>343.2</x:v>
      </x:c>
      <x:c r="U261" s="86" t="n">
        <x:f>IF(OR(S261="",T261=""),"",S261*T261)</x:f>
        <x:v>413.21279999999996</x:v>
      </x:c>
      <x:c r="V261" s="46" t="str">
        <x:v>DÜŞÜK</x:v>
      </x:c>
      <x:c r="W261" s="46" t="str"/>
      <x:c r="X261" s="50" t="str">
        <x:v>Mikroyapı ve sıkıştırma bilinmeden yalnız yoğunlukla güvenilir akustik karakterizasyon yapılamaz.</x:v>
      </x:c>
    </x:row>
    <x:row r="262">
      <x:c r="A262" s="46" t="str">
        <x:v>WOOD-FIBRE-D50-T50</x:v>
      </x:c>
      <x:c r="B262" s="46" t="str">
        <x:v>Diğer gözenekli emici</x:v>
      </x:c>
      <x:c r="C262" s="46" t="str">
        <x:v>Ahşap lif levha</x:v>
      </x:c>
      <x:c r="D262" s="46" t="str">
        <x:v>GENERIC</x:v>
      </x:c>
      <x:c r="E262" s="46" t="str">
        <x:v>WOOD-FIBRE</x:v>
      </x:c>
      <x:c r="F262" s="70" t="str">
        <x:v>JCA_STARTING_ESTIMATE</x:v>
      </x:c>
      <x:c r="G262" s="54" t="n">
        <x:v>50</x:v>
      </x:c>
      <x:c r="H262" s="54" t="n">
        <x:v>50</x:v>
      </x:c>
      <x:c r="I262" s="66" t="n">
        <x:v>10000</x:v>
      </x:c>
      <x:c r="J262" s="76" t="n">
        <x:f>IF(OR(G262="",I262=""),"",I262*G262/1000)</x:f>
        <x:v>500</x:v>
      </x:c>
      <x:c r="K262" s="62" t="n">
        <x:v>0.9</x:v>
      </x:c>
      <x:c r="L262" s="62" t="n">
        <x:v>1.25</x:v>
      </x:c>
      <x:c r="M262" s="66" t="n">
        <x:v>120</x:v>
      </x:c>
      <x:c r="N262" s="66" t="n">
        <x:v>240</x:v>
      </x:c>
      <x:c r="O262" s="54" t="n">
        <x:v>200</x:v>
      </x:c>
      <x:c r="P262" s="62" t="n">
        <x:v>0.1</x:v>
      </x:c>
      <x:c r="Q262" s="62" t="n">
        <x:v>0.25</x:v>
      </x:c>
      <x:c r="R262" s="54"/>
      <x:c r="S262" s="62" t="n">
        <x:v>1.204</x:v>
      </x:c>
      <x:c r="T262" s="54" t="n">
        <x:v>343.2</x:v>
      </x:c>
      <x:c r="U262" s="86" t="n">
        <x:f>IF(OR(S262="",T262=""),"",S262*T262)</x:f>
        <x:v>413.21279999999996</x:v>
      </x:c>
      <x:c r="V262" s="46" t="str">
        <x:v>DÜŞÜK</x:v>
      </x:c>
      <x:c r="W262" s="46" t="str"/>
      <x:c r="X262" s="50" t="str">
        <x:v>Mikroyapı ve sıkıştırma bilinmeden yalnız yoğunlukla güvenilir akustik karakterizasyon yapılamaz.</x:v>
      </x:c>
    </x:row>
    <x:row r="263">
      <x:c r="A263" s="46" t="str">
        <x:v>WOOD-FIBRE-D50-T75</x:v>
      </x:c>
      <x:c r="B263" s="46" t="str">
        <x:v>Diğer gözenekli emici</x:v>
      </x:c>
      <x:c r="C263" s="46" t="str">
        <x:v>Ahşap lif levha</x:v>
      </x:c>
      <x:c r="D263" s="46" t="str">
        <x:v>GENERIC</x:v>
      </x:c>
      <x:c r="E263" s="46" t="str">
        <x:v>WOOD-FIBRE</x:v>
      </x:c>
      <x:c r="F263" s="70" t="str">
        <x:v>JCA_STARTING_ESTIMATE</x:v>
      </x:c>
      <x:c r="G263" s="54" t="n">
        <x:v>75</x:v>
      </x:c>
      <x:c r="H263" s="54" t="n">
        <x:v>50</x:v>
      </x:c>
      <x:c r="I263" s="66" t="n">
        <x:v>10000</x:v>
      </x:c>
      <x:c r="J263" s="76" t="n">
        <x:f>IF(OR(G263="",I263=""),"",I263*G263/1000)</x:f>
        <x:v>750</x:v>
      </x:c>
      <x:c r="K263" s="62" t="n">
        <x:v>0.9</x:v>
      </x:c>
      <x:c r="L263" s="62" t="n">
        <x:v>1.25</x:v>
      </x:c>
      <x:c r="M263" s="66" t="n">
        <x:v>120</x:v>
      </x:c>
      <x:c r="N263" s="66" t="n">
        <x:v>240</x:v>
      </x:c>
      <x:c r="O263" s="54" t="n">
        <x:v>200</x:v>
      </x:c>
      <x:c r="P263" s="62" t="n">
        <x:v>0.1</x:v>
      </x:c>
      <x:c r="Q263" s="62" t="n">
        <x:v>0.25</x:v>
      </x:c>
      <x:c r="R263" s="54"/>
      <x:c r="S263" s="62" t="n">
        <x:v>1.204</x:v>
      </x:c>
      <x:c r="T263" s="54" t="n">
        <x:v>343.2</x:v>
      </x:c>
      <x:c r="U263" s="86" t="n">
        <x:f>IF(OR(S263="",T263=""),"",S263*T263)</x:f>
        <x:v>413.21279999999996</x:v>
      </x:c>
      <x:c r="V263" s="46" t="str">
        <x:v>DÜŞÜK</x:v>
      </x:c>
      <x:c r="W263" s="46" t="str"/>
      <x:c r="X263" s="50" t="str">
        <x:v>Mikroyapı ve sıkıştırma bilinmeden yalnız yoğunlukla güvenilir akustik karakterizasyon yapılamaz.</x:v>
      </x:c>
    </x:row>
    <x:row r="264">
      <x:c r="A264" s="46" t="str">
        <x:v>WOOD-FIBRE-D50-T100</x:v>
      </x:c>
      <x:c r="B264" s="46" t="str">
        <x:v>Diğer gözenekli emici</x:v>
      </x:c>
      <x:c r="C264" s="46" t="str">
        <x:v>Ahşap lif levha</x:v>
      </x:c>
      <x:c r="D264" s="46" t="str">
        <x:v>GENERIC</x:v>
      </x:c>
      <x:c r="E264" s="46" t="str">
        <x:v>WOOD-FIBRE</x:v>
      </x:c>
      <x:c r="F264" s="70" t="str">
        <x:v>JCA_STARTING_ESTIMATE</x:v>
      </x:c>
      <x:c r="G264" s="54" t="n">
        <x:v>100</x:v>
      </x:c>
      <x:c r="H264" s="54" t="n">
        <x:v>50</x:v>
      </x:c>
      <x:c r="I264" s="66" t="n">
        <x:v>10000</x:v>
      </x:c>
      <x:c r="J264" s="76" t="n">
        <x:f>IF(OR(G264="",I264=""),"",I264*G264/1000)</x:f>
        <x:v>1000</x:v>
      </x:c>
      <x:c r="K264" s="62" t="n">
        <x:v>0.9</x:v>
      </x:c>
      <x:c r="L264" s="62" t="n">
        <x:v>1.25</x:v>
      </x:c>
      <x:c r="M264" s="66" t="n">
        <x:v>120</x:v>
      </x:c>
      <x:c r="N264" s="66" t="n">
        <x:v>240</x:v>
      </x:c>
      <x:c r="O264" s="54" t="n">
        <x:v>200</x:v>
      </x:c>
      <x:c r="P264" s="62" t="n">
        <x:v>0.1</x:v>
      </x:c>
      <x:c r="Q264" s="62" t="n">
        <x:v>0.25</x:v>
      </x:c>
      <x:c r="R264" s="54"/>
      <x:c r="S264" s="62" t="n">
        <x:v>1.204</x:v>
      </x:c>
      <x:c r="T264" s="54" t="n">
        <x:v>343.2</x:v>
      </x:c>
      <x:c r="U264" s="86" t="n">
        <x:f>IF(OR(S264="",T264=""),"",S264*T264)</x:f>
        <x:v>413.21279999999996</x:v>
      </x:c>
      <x:c r="V264" s="46" t="str">
        <x:v>DÜŞÜK</x:v>
      </x:c>
      <x:c r="W264" s="46" t="str"/>
      <x:c r="X264" s="50" t="str">
        <x:v>Mikroyapı ve sıkıştırma bilinmeden yalnız yoğunlukla güvenilir akustik karakterizasyon yapılamaz.</x:v>
      </x:c>
    </x:row>
    <x:row r="265">
      <x:c r="A265" s="46" t="str">
        <x:v>WOOD-FIBRE-D80-T25</x:v>
      </x:c>
      <x:c r="B265" s="46" t="str">
        <x:v>Diğer gözenekli emici</x:v>
      </x:c>
      <x:c r="C265" s="46" t="str">
        <x:v>Ahşap lif levha</x:v>
      </x:c>
      <x:c r="D265" s="46" t="str">
        <x:v>GENERIC</x:v>
      </x:c>
      <x:c r="E265" s="46" t="str">
        <x:v>WOOD-FIBRE</x:v>
      </x:c>
      <x:c r="F265" s="70" t="str">
        <x:v>JCA_STARTING_ESTIMATE</x:v>
      </x:c>
      <x:c r="G265" s="54" t="n">
        <x:v>25</x:v>
      </x:c>
      <x:c r="H265" s="54" t="n">
        <x:v>80</x:v>
      </x:c>
      <x:c r="I265" s="66" t="n">
        <x:v>18000</x:v>
      </x:c>
      <x:c r="J265" s="76" t="n">
        <x:f>IF(OR(G265="",I265=""),"",I265*G265/1000)</x:f>
        <x:v>450</x:v>
      </x:c>
      <x:c r="K265" s="62" t="n">
        <x:v>0.9</x:v>
      </x:c>
      <x:c r="L265" s="62" t="n">
        <x:v>1.25</x:v>
      </x:c>
      <x:c r="M265" s="66" t="n">
        <x:v>120</x:v>
      </x:c>
      <x:c r="N265" s="66" t="n">
        <x:v>240</x:v>
      </x:c>
      <x:c r="O265" s="54" t="n">
        <x:v>320</x:v>
      </x:c>
      <x:c r="P265" s="62" t="n">
        <x:v>0.1</x:v>
      </x:c>
      <x:c r="Q265" s="62" t="n">
        <x:v>0.25</x:v>
      </x:c>
      <x:c r="R265" s="54"/>
      <x:c r="S265" s="62" t="n">
        <x:v>1.204</x:v>
      </x:c>
      <x:c r="T265" s="54" t="n">
        <x:v>343.2</x:v>
      </x:c>
      <x:c r="U265" s="86" t="n">
        <x:f>IF(OR(S265="",T265=""),"",S265*T265)</x:f>
        <x:v>413.21279999999996</x:v>
      </x:c>
      <x:c r="V265" s="46" t="str">
        <x:v>DÜŞÜK</x:v>
      </x:c>
      <x:c r="W265" s="46" t="str"/>
      <x:c r="X265" s="50" t="str">
        <x:v>Mikroyapı ve sıkıştırma bilinmeden yalnız yoğunlukla güvenilir akustik karakterizasyon yapılamaz.</x:v>
      </x:c>
    </x:row>
    <x:row r="266">
      <x:c r="A266" s="46" t="str">
        <x:v>WOOD-FIBRE-D80-T50</x:v>
      </x:c>
      <x:c r="B266" s="46" t="str">
        <x:v>Diğer gözenekli emici</x:v>
      </x:c>
      <x:c r="C266" s="46" t="str">
        <x:v>Ahşap lif levha</x:v>
      </x:c>
      <x:c r="D266" s="46" t="str">
        <x:v>GENERIC</x:v>
      </x:c>
      <x:c r="E266" s="46" t="str">
        <x:v>WOOD-FIBRE</x:v>
      </x:c>
      <x:c r="F266" s="70" t="str">
        <x:v>JCA_STARTING_ESTIMATE</x:v>
      </x:c>
      <x:c r="G266" s="54" t="n">
        <x:v>50</x:v>
      </x:c>
      <x:c r="H266" s="54" t="n">
        <x:v>80</x:v>
      </x:c>
      <x:c r="I266" s="66" t="n">
        <x:v>18000</x:v>
      </x:c>
      <x:c r="J266" s="76" t="n">
        <x:f>IF(OR(G266="",I266=""),"",I266*G266/1000)</x:f>
        <x:v>900</x:v>
      </x:c>
      <x:c r="K266" s="62" t="n">
        <x:v>0.9</x:v>
      </x:c>
      <x:c r="L266" s="62" t="n">
        <x:v>1.25</x:v>
      </x:c>
      <x:c r="M266" s="66" t="n">
        <x:v>120</x:v>
      </x:c>
      <x:c r="N266" s="66" t="n">
        <x:v>240</x:v>
      </x:c>
      <x:c r="O266" s="54" t="n">
        <x:v>320</x:v>
      </x:c>
      <x:c r="P266" s="62" t="n">
        <x:v>0.1</x:v>
      </x:c>
      <x:c r="Q266" s="62" t="n">
        <x:v>0.25</x:v>
      </x:c>
      <x:c r="R266" s="54"/>
      <x:c r="S266" s="62" t="n">
        <x:v>1.204</x:v>
      </x:c>
      <x:c r="T266" s="54" t="n">
        <x:v>343.2</x:v>
      </x:c>
      <x:c r="U266" s="86" t="n">
        <x:f>IF(OR(S266="",T266=""),"",S266*T266)</x:f>
        <x:v>413.21279999999996</x:v>
      </x:c>
      <x:c r="V266" s="46" t="str">
        <x:v>DÜŞÜK</x:v>
      </x:c>
      <x:c r="W266" s="46" t="str"/>
      <x:c r="X266" s="50" t="str">
        <x:v>Mikroyapı ve sıkıştırma bilinmeden yalnız yoğunlukla güvenilir akustik karakterizasyon yapılamaz.</x:v>
      </x:c>
    </x:row>
    <x:row r="267">
      <x:c r="A267" s="46" t="str">
        <x:v>WOOD-FIBRE-D80-T75</x:v>
      </x:c>
      <x:c r="B267" s="46" t="str">
        <x:v>Diğer gözenekli emici</x:v>
      </x:c>
      <x:c r="C267" s="46" t="str">
        <x:v>Ahşap lif levha</x:v>
      </x:c>
      <x:c r="D267" s="46" t="str">
        <x:v>GENERIC</x:v>
      </x:c>
      <x:c r="E267" s="46" t="str">
        <x:v>WOOD-FIBRE</x:v>
      </x:c>
      <x:c r="F267" s="70" t="str">
        <x:v>JCA_STARTING_ESTIMATE</x:v>
      </x:c>
      <x:c r="G267" s="54" t="n">
        <x:v>75</x:v>
      </x:c>
      <x:c r="H267" s="54" t="n">
        <x:v>80</x:v>
      </x:c>
      <x:c r="I267" s="66" t="n">
        <x:v>18000</x:v>
      </x:c>
      <x:c r="J267" s="76" t="n">
        <x:f>IF(OR(G267="",I267=""),"",I267*G267/1000)</x:f>
        <x:v>1350</x:v>
      </x:c>
      <x:c r="K267" s="62" t="n">
        <x:v>0.9</x:v>
      </x:c>
      <x:c r="L267" s="62" t="n">
        <x:v>1.25</x:v>
      </x:c>
      <x:c r="M267" s="66" t="n">
        <x:v>120</x:v>
      </x:c>
      <x:c r="N267" s="66" t="n">
        <x:v>240</x:v>
      </x:c>
      <x:c r="O267" s="54" t="n">
        <x:v>320</x:v>
      </x:c>
      <x:c r="P267" s="62" t="n">
        <x:v>0.1</x:v>
      </x:c>
      <x:c r="Q267" s="62" t="n">
        <x:v>0.25</x:v>
      </x:c>
      <x:c r="R267" s="54"/>
      <x:c r="S267" s="62" t="n">
        <x:v>1.204</x:v>
      </x:c>
      <x:c r="T267" s="54" t="n">
        <x:v>343.2</x:v>
      </x:c>
      <x:c r="U267" s="86" t="n">
        <x:f>IF(OR(S267="",T267=""),"",S267*T267)</x:f>
        <x:v>413.21279999999996</x:v>
      </x:c>
      <x:c r="V267" s="46" t="str">
        <x:v>DÜŞÜK</x:v>
      </x:c>
      <x:c r="W267" s="46" t="str"/>
      <x:c r="X267" s="50" t="str">
        <x:v>Mikroyapı ve sıkıştırma bilinmeden yalnız yoğunlukla güvenilir akustik karakterizasyon yapılamaz.</x:v>
      </x:c>
    </x:row>
    <x:row r="268">
      <x:c r="A268" s="46" t="str">
        <x:v>WOOD-FIBRE-D80-T100</x:v>
      </x:c>
      <x:c r="B268" s="46" t="str">
        <x:v>Diğer gözenekli emici</x:v>
      </x:c>
      <x:c r="C268" s="46" t="str">
        <x:v>Ahşap lif levha</x:v>
      </x:c>
      <x:c r="D268" s="46" t="str">
        <x:v>GENERIC</x:v>
      </x:c>
      <x:c r="E268" s="46" t="str">
        <x:v>WOOD-FIBRE</x:v>
      </x:c>
      <x:c r="F268" s="70" t="str">
        <x:v>JCA_STARTING_ESTIMATE</x:v>
      </x:c>
      <x:c r="G268" s="54" t="n">
        <x:v>100</x:v>
      </x:c>
      <x:c r="H268" s="54" t="n">
        <x:v>80</x:v>
      </x:c>
      <x:c r="I268" s="66" t="n">
        <x:v>18000</x:v>
      </x:c>
      <x:c r="J268" s="76" t="n">
        <x:f>IF(OR(G268="",I268=""),"",I268*G268/1000)</x:f>
        <x:v>1800</x:v>
      </x:c>
      <x:c r="K268" s="62" t="n">
        <x:v>0.9</x:v>
      </x:c>
      <x:c r="L268" s="62" t="n">
        <x:v>1.25</x:v>
      </x:c>
      <x:c r="M268" s="66" t="n">
        <x:v>120</x:v>
      </x:c>
      <x:c r="N268" s="66" t="n">
        <x:v>240</x:v>
      </x:c>
      <x:c r="O268" s="54" t="n">
        <x:v>320</x:v>
      </x:c>
      <x:c r="P268" s="62" t="n">
        <x:v>0.1</x:v>
      </x:c>
      <x:c r="Q268" s="62" t="n">
        <x:v>0.25</x:v>
      </x:c>
      <x:c r="R268" s="54"/>
      <x:c r="S268" s="62" t="n">
        <x:v>1.204</x:v>
      </x:c>
      <x:c r="T268" s="54" t="n">
        <x:v>343.2</x:v>
      </x:c>
      <x:c r="U268" s="86" t="n">
        <x:f>IF(OR(S268="",T268=""),"",S268*T268)</x:f>
        <x:v>413.21279999999996</x:v>
      </x:c>
      <x:c r="V268" s="46" t="str">
        <x:v>DÜŞÜK</x:v>
      </x:c>
      <x:c r="W268" s="46" t="str"/>
      <x:c r="X268" s="50" t="str">
        <x:v>Mikroyapı ve sıkıştırma bilinmeden yalnız yoğunlukla güvenilir akustik karakterizasyon yapılamaz.</x:v>
      </x:c>
    </x:row>
    <x:row r="269">
      <x:c r="A269" s="46" t="str">
        <x:v>WOOD-FIBRE-D110-T25</x:v>
      </x:c>
      <x:c r="B269" s="46" t="str">
        <x:v>Diğer gözenekli emici</x:v>
      </x:c>
      <x:c r="C269" s="46" t="str">
        <x:v>Ahşap lif levha</x:v>
      </x:c>
      <x:c r="D269" s="46" t="str">
        <x:v>GENERIC</x:v>
      </x:c>
      <x:c r="E269" s="46" t="str">
        <x:v>WOOD-FIBRE</x:v>
      </x:c>
      <x:c r="F269" s="70" t="str">
        <x:v>JCA_STARTING_ESTIMATE</x:v>
      </x:c>
      <x:c r="G269" s="54" t="n">
        <x:v>25</x:v>
      </x:c>
      <x:c r="H269" s="54" t="n">
        <x:v>110</x:v>
      </x:c>
      <x:c r="I269" s="66" t="n">
        <x:v>30000</x:v>
      </x:c>
      <x:c r="J269" s="76" t="n">
        <x:f>IF(OR(G269="",I269=""),"",I269*G269/1000)</x:f>
        <x:v>750</x:v>
      </x:c>
      <x:c r="K269" s="62" t="n">
        <x:v>0.9</x:v>
      </x:c>
      <x:c r="L269" s="62" t="n">
        <x:v>1.25</x:v>
      </x:c>
      <x:c r="M269" s="66" t="n">
        <x:v>120</x:v>
      </x:c>
      <x:c r="N269" s="66" t="n">
        <x:v>240</x:v>
      </x:c>
      <x:c r="O269" s="54" t="n">
        <x:v>440</x:v>
      </x:c>
      <x:c r="P269" s="62" t="n">
        <x:v>0.1</x:v>
      </x:c>
      <x:c r="Q269" s="62" t="n">
        <x:v>0.25</x:v>
      </x:c>
      <x:c r="R269" s="54"/>
      <x:c r="S269" s="62" t="n">
        <x:v>1.204</x:v>
      </x:c>
      <x:c r="T269" s="54" t="n">
        <x:v>343.2</x:v>
      </x:c>
      <x:c r="U269" s="86" t="n">
        <x:f>IF(OR(S269="",T269=""),"",S269*T269)</x:f>
        <x:v>413.21279999999996</x:v>
      </x:c>
      <x:c r="V269" s="46" t="str">
        <x:v>DÜŞÜK</x:v>
      </x:c>
      <x:c r="W269" s="46" t="str"/>
      <x:c r="X269" s="50" t="str">
        <x:v>Mikroyapı ve sıkıştırma bilinmeden yalnız yoğunlukla güvenilir akustik karakterizasyon yapılamaz.</x:v>
      </x:c>
    </x:row>
    <x:row r="270">
      <x:c r="A270" s="46" t="str">
        <x:v>WOOD-FIBRE-D110-T50</x:v>
      </x:c>
      <x:c r="B270" s="46" t="str">
        <x:v>Diğer gözenekli emici</x:v>
      </x:c>
      <x:c r="C270" s="46" t="str">
        <x:v>Ahşap lif levha</x:v>
      </x:c>
      <x:c r="D270" s="46" t="str">
        <x:v>GENERIC</x:v>
      </x:c>
      <x:c r="E270" s="46" t="str">
        <x:v>WOOD-FIBRE</x:v>
      </x:c>
      <x:c r="F270" s="70" t="str">
        <x:v>JCA_STARTING_ESTIMATE</x:v>
      </x:c>
      <x:c r="G270" s="54" t="n">
        <x:v>50</x:v>
      </x:c>
      <x:c r="H270" s="54" t="n">
        <x:v>110</x:v>
      </x:c>
      <x:c r="I270" s="66" t="n">
        <x:v>30000</x:v>
      </x:c>
      <x:c r="J270" s="76" t="n">
        <x:f>IF(OR(G270="",I270=""),"",I270*G270/1000)</x:f>
        <x:v>1500</x:v>
      </x:c>
      <x:c r="K270" s="62" t="n">
        <x:v>0.9</x:v>
      </x:c>
      <x:c r="L270" s="62" t="n">
        <x:v>1.25</x:v>
      </x:c>
      <x:c r="M270" s="66" t="n">
        <x:v>120</x:v>
      </x:c>
      <x:c r="N270" s="66" t="n">
        <x:v>240</x:v>
      </x:c>
      <x:c r="O270" s="54" t="n">
        <x:v>440</x:v>
      </x:c>
      <x:c r="P270" s="62" t="n">
        <x:v>0.1</x:v>
      </x:c>
      <x:c r="Q270" s="62" t="n">
        <x:v>0.25</x:v>
      </x:c>
      <x:c r="R270" s="54"/>
      <x:c r="S270" s="62" t="n">
        <x:v>1.204</x:v>
      </x:c>
      <x:c r="T270" s="54" t="n">
        <x:v>343.2</x:v>
      </x:c>
      <x:c r="U270" s="86" t="n">
        <x:f>IF(OR(S270="",T270=""),"",S270*T270)</x:f>
        <x:v>413.21279999999996</x:v>
      </x:c>
      <x:c r="V270" s="46" t="str">
        <x:v>DÜŞÜK</x:v>
      </x:c>
      <x:c r="W270" s="46" t="str"/>
      <x:c r="X270" s="50" t="str">
        <x:v>Mikroyapı ve sıkıştırma bilinmeden yalnız yoğunlukla güvenilir akustik karakterizasyon yapılamaz.</x:v>
      </x:c>
    </x:row>
    <x:row r="271">
      <x:c r="A271" s="46" t="str">
        <x:v>WOOD-FIBRE-D110-T75</x:v>
      </x:c>
      <x:c r="B271" s="46" t="str">
        <x:v>Diğer gözenekli emici</x:v>
      </x:c>
      <x:c r="C271" s="46" t="str">
        <x:v>Ahşap lif levha</x:v>
      </x:c>
      <x:c r="D271" s="46" t="str">
        <x:v>GENERIC</x:v>
      </x:c>
      <x:c r="E271" s="46" t="str">
        <x:v>WOOD-FIBRE</x:v>
      </x:c>
      <x:c r="F271" s="70" t="str">
        <x:v>JCA_STARTING_ESTIMATE</x:v>
      </x:c>
      <x:c r="G271" s="54" t="n">
        <x:v>75</x:v>
      </x:c>
      <x:c r="H271" s="54" t="n">
        <x:v>110</x:v>
      </x:c>
      <x:c r="I271" s="66" t="n">
        <x:v>30000</x:v>
      </x:c>
      <x:c r="J271" s="76" t="n">
        <x:f>IF(OR(G271="",I271=""),"",I271*G271/1000)</x:f>
        <x:v>2250</x:v>
      </x:c>
      <x:c r="K271" s="62" t="n">
        <x:v>0.9</x:v>
      </x:c>
      <x:c r="L271" s="62" t="n">
        <x:v>1.25</x:v>
      </x:c>
      <x:c r="M271" s="66" t="n">
        <x:v>120</x:v>
      </x:c>
      <x:c r="N271" s="66" t="n">
        <x:v>240</x:v>
      </x:c>
      <x:c r="O271" s="54" t="n">
        <x:v>440</x:v>
      </x:c>
      <x:c r="P271" s="62" t="n">
        <x:v>0.1</x:v>
      </x:c>
      <x:c r="Q271" s="62" t="n">
        <x:v>0.25</x:v>
      </x:c>
      <x:c r="R271" s="54"/>
      <x:c r="S271" s="62" t="n">
        <x:v>1.204</x:v>
      </x:c>
      <x:c r="T271" s="54" t="n">
        <x:v>343.2</x:v>
      </x:c>
      <x:c r="U271" s="86" t="n">
        <x:f>IF(OR(S271="",T271=""),"",S271*T271)</x:f>
        <x:v>413.21279999999996</x:v>
      </x:c>
      <x:c r="V271" s="46" t="str">
        <x:v>DÜŞÜK</x:v>
      </x:c>
      <x:c r="W271" s="46" t="str"/>
      <x:c r="X271" s="50" t="str">
        <x:v>Mikroyapı ve sıkıştırma bilinmeden yalnız yoğunlukla güvenilir akustik karakterizasyon yapılamaz.</x:v>
      </x:c>
    </x:row>
    <x:row r="272">
      <x:c r="A272" s="46" t="str">
        <x:v>WOOD-FIBRE-D110-T100</x:v>
      </x:c>
      <x:c r="B272" s="46" t="str">
        <x:v>Diğer gözenekli emici</x:v>
      </x:c>
      <x:c r="C272" s="46" t="str">
        <x:v>Ahşap lif levha</x:v>
      </x:c>
      <x:c r="D272" s="46" t="str">
        <x:v>GENERIC</x:v>
      </x:c>
      <x:c r="E272" s="46" t="str">
        <x:v>WOOD-FIBRE</x:v>
      </x:c>
      <x:c r="F272" s="70" t="str">
        <x:v>JCA_STARTING_ESTIMATE</x:v>
      </x:c>
      <x:c r="G272" s="54" t="n">
        <x:v>100</x:v>
      </x:c>
      <x:c r="H272" s="54" t="n">
        <x:v>110</x:v>
      </x:c>
      <x:c r="I272" s="66" t="n">
        <x:v>30000</x:v>
      </x:c>
      <x:c r="J272" s="76" t="n">
        <x:f>IF(OR(G272="",I272=""),"",I272*G272/1000)</x:f>
        <x:v>3000</x:v>
      </x:c>
      <x:c r="K272" s="62" t="n">
        <x:v>0.9</x:v>
      </x:c>
      <x:c r="L272" s="62" t="n">
        <x:v>1.25</x:v>
      </x:c>
      <x:c r="M272" s="66" t="n">
        <x:v>120</x:v>
      </x:c>
      <x:c r="N272" s="66" t="n">
        <x:v>240</x:v>
      </x:c>
      <x:c r="O272" s="54" t="n">
        <x:v>440</x:v>
      </x:c>
      <x:c r="P272" s="62" t="n">
        <x:v>0.1</x:v>
      </x:c>
      <x:c r="Q272" s="62" t="n">
        <x:v>0.25</x:v>
      </x:c>
      <x:c r="R272" s="54"/>
      <x:c r="S272" s="62" t="n">
        <x:v>1.204</x:v>
      </x:c>
      <x:c r="T272" s="54" t="n">
        <x:v>343.2</x:v>
      </x:c>
      <x:c r="U272" s="86" t="n">
        <x:f>IF(OR(S272="",T272=""),"",S272*T272)</x:f>
        <x:v>413.21279999999996</x:v>
      </x:c>
      <x:c r="V272" s="46" t="str">
        <x:v>DÜŞÜK</x:v>
      </x:c>
      <x:c r="W272" s="46" t="str"/>
      <x:c r="X272" s="50" t="str">
        <x:v>Mikroyapı ve sıkıştırma bilinmeden yalnız yoğunlukla güvenilir akustik karakterizasyon yapılamaz.</x:v>
      </x:c>
    </x:row>
    <x:row r="273">
      <x:c r="A273" s="46" t="str">
        <x:v>WOOD-FIBRE-D140-T25</x:v>
      </x:c>
      <x:c r="B273" s="46" t="str">
        <x:v>Diğer gözenekli emici</x:v>
      </x:c>
      <x:c r="C273" s="46" t="str">
        <x:v>Ahşap lif levha</x:v>
      </x:c>
      <x:c r="D273" s="46" t="str">
        <x:v>GENERIC</x:v>
      </x:c>
      <x:c r="E273" s="46" t="str">
        <x:v>WOOD-FIBRE</x:v>
      </x:c>
      <x:c r="F273" s="70" t="str">
        <x:v>JCA_STARTING_ESTIMATE</x:v>
      </x:c>
      <x:c r="G273" s="54" t="n">
        <x:v>25</x:v>
      </x:c>
      <x:c r="H273" s="54" t="n">
        <x:v>140</x:v>
      </x:c>
      <x:c r="I273" s="66" t="n">
        <x:v>45000</x:v>
      </x:c>
      <x:c r="J273" s="76" t="n">
        <x:f>IF(OR(G273="",I273=""),"",I273*G273/1000)</x:f>
        <x:v>1125</x:v>
      </x:c>
      <x:c r="K273" s="62" t="n">
        <x:v>0.9</x:v>
      </x:c>
      <x:c r="L273" s="62" t="n">
        <x:v>1.25</x:v>
      </x:c>
      <x:c r="M273" s="66" t="n">
        <x:v>120</x:v>
      </x:c>
      <x:c r="N273" s="66" t="n">
        <x:v>240</x:v>
      </x:c>
      <x:c r="O273" s="54" t="n">
        <x:v>560</x:v>
      </x:c>
      <x:c r="P273" s="62" t="n">
        <x:v>0.1</x:v>
      </x:c>
      <x:c r="Q273" s="62" t="n">
        <x:v>0.25</x:v>
      </x:c>
      <x:c r="R273" s="54"/>
      <x:c r="S273" s="62" t="n">
        <x:v>1.204</x:v>
      </x:c>
      <x:c r="T273" s="54" t="n">
        <x:v>343.2</x:v>
      </x:c>
      <x:c r="U273" s="86" t="n">
        <x:f>IF(OR(S273="",T273=""),"",S273*T273)</x:f>
        <x:v>413.21279999999996</x:v>
      </x:c>
      <x:c r="V273" s="46" t="str">
        <x:v>DÜŞÜK</x:v>
      </x:c>
      <x:c r="W273" s="46" t="str"/>
      <x:c r="X273" s="50" t="str">
        <x:v>Mikroyapı ve sıkıştırma bilinmeden yalnız yoğunlukla güvenilir akustik karakterizasyon yapılamaz.</x:v>
      </x:c>
    </x:row>
    <x:row r="274">
      <x:c r="A274" s="46" t="str">
        <x:v>WOOD-FIBRE-D140-T50</x:v>
      </x:c>
      <x:c r="B274" s="46" t="str">
        <x:v>Diğer gözenekli emici</x:v>
      </x:c>
      <x:c r="C274" s="46" t="str">
        <x:v>Ahşap lif levha</x:v>
      </x:c>
      <x:c r="D274" s="46" t="str">
        <x:v>GENERIC</x:v>
      </x:c>
      <x:c r="E274" s="46" t="str">
        <x:v>WOOD-FIBRE</x:v>
      </x:c>
      <x:c r="F274" s="70" t="str">
        <x:v>JCA_STARTING_ESTIMATE</x:v>
      </x:c>
      <x:c r="G274" s="54" t="n">
        <x:v>50</x:v>
      </x:c>
      <x:c r="H274" s="54" t="n">
        <x:v>140</x:v>
      </x:c>
      <x:c r="I274" s="66" t="n">
        <x:v>45000</x:v>
      </x:c>
      <x:c r="J274" s="76" t="n">
        <x:f>IF(OR(G274="",I274=""),"",I274*G274/1000)</x:f>
        <x:v>2250</x:v>
      </x:c>
      <x:c r="K274" s="62" t="n">
        <x:v>0.9</x:v>
      </x:c>
      <x:c r="L274" s="62" t="n">
        <x:v>1.25</x:v>
      </x:c>
      <x:c r="M274" s="66" t="n">
        <x:v>120</x:v>
      </x:c>
      <x:c r="N274" s="66" t="n">
        <x:v>240</x:v>
      </x:c>
      <x:c r="O274" s="54" t="n">
        <x:v>560</x:v>
      </x:c>
      <x:c r="P274" s="62" t="n">
        <x:v>0.1</x:v>
      </x:c>
      <x:c r="Q274" s="62" t="n">
        <x:v>0.25</x:v>
      </x:c>
      <x:c r="R274" s="54"/>
      <x:c r="S274" s="62" t="n">
        <x:v>1.204</x:v>
      </x:c>
      <x:c r="T274" s="54" t="n">
        <x:v>343.2</x:v>
      </x:c>
      <x:c r="U274" s="86" t="n">
        <x:f>IF(OR(S274="",T274=""),"",S274*T274)</x:f>
        <x:v>413.21279999999996</x:v>
      </x:c>
      <x:c r="V274" s="46" t="str">
        <x:v>DÜŞÜK</x:v>
      </x:c>
      <x:c r="W274" s="46" t="str"/>
      <x:c r="X274" s="50" t="str">
        <x:v>Mikroyapı ve sıkıştırma bilinmeden yalnız yoğunlukla güvenilir akustik karakterizasyon yapılamaz.</x:v>
      </x:c>
    </x:row>
    <x:row r="275">
      <x:c r="A275" s="46" t="str">
        <x:v>WOOD-FIBRE-D140-T75</x:v>
      </x:c>
      <x:c r="B275" s="46" t="str">
        <x:v>Diğer gözenekli emici</x:v>
      </x:c>
      <x:c r="C275" s="46" t="str">
        <x:v>Ahşap lif levha</x:v>
      </x:c>
      <x:c r="D275" s="46" t="str">
        <x:v>GENERIC</x:v>
      </x:c>
      <x:c r="E275" s="46" t="str">
        <x:v>WOOD-FIBRE</x:v>
      </x:c>
      <x:c r="F275" s="70" t="str">
        <x:v>JCA_STARTING_ESTIMATE</x:v>
      </x:c>
      <x:c r="G275" s="54" t="n">
        <x:v>75</x:v>
      </x:c>
      <x:c r="H275" s="54" t="n">
        <x:v>140</x:v>
      </x:c>
      <x:c r="I275" s="66" t="n">
        <x:v>45000</x:v>
      </x:c>
      <x:c r="J275" s="76" t="n">
        <x:f>IF(OR(G275="",I275=""),"",I275*G275/1000)</x:f>
        <x:v>3375</x:v>
      </x:c>
      <x:c r="K275" s="62" t="n">
        <x:v>0.9</x:v>
      </x:c>
      <x:c r="L275" s="62" t="n">
        <x:v>1.25</x:v>
      </x:c>
      <x:c r="M275" s="66" t="n">
        <x:v>120</x:v>
      </x:c>
      <x:c r="N275" s="66" t="n">
        <x:v>240</x:v>
      </x:c>
      <x:c r="O275" s="54" t="n">
        <x:v>560</x:v>
      </x:c>
      <x:c r="P275" s="62" t="n">
        <x:v>0.1</x:v>
      </x:c>
      <x:c r="Q275" s="62" t="n">
        <x:v>0.25</x:v>
      </x:c>
      <x:c r="R275" s="54"/>
      <x:c r="S275" s="62" t="n">
        <x:v>1.204</x:v>
      </x:c>
      <x:c r="T275" s="54" t="n">
        <x:v>343.2</x:v>
      </x:c>
      <x:c r="U275" s="86" t="n">
        <x:f>IF(OR(S275="",T275=""),"",S275*T275)</x:f>
        <x:v>413.21279999999996</x:v>
      </x:c>
      <x:c r="V275" s="46" t="str">
        <x:v>DÜŞÜK</x:v>
      </x:c>
      <x:c r="W275" s="46" t="str"/>
      <x:c r="X275" s="50" t="str">
        <x:v>Mikroyapı ve sıkıştırma bilinmeden yalnız yoğunlukla güvenilir akustik karakterizasyon yapılamaz.</x:v>
      </x:c>
    </x:row>
    <x:row r="276">
      <x:c r="A276" s="47" t="str">
        <x:v>WOOD-FIBRE-D140-T100</x:v>
      </x:c>
      <x:c r="B276" s="47" t="str">
        <x:v>Diğer gözenekli emici</x:v>
      </x:c>
      <x:c r="C276" s="47" t="str">
        <x:v>Ahşap lif levha</x:v>
      </x:c>
      <x:c r="D276" s="47" t="str">
        <x:v>GENERIC</x:v>
      </x:c>
      <x:c r="E276" s="47" t="str">
        <x:v>WOOD-FIBRE</x:v>
      </x:c>
      <x:c r="F276" s="71" t="str">
        <x:v>JCA_STARTING_ESTIMATE</x:v>
      </x:c>
      <x:c r="G276" s="55" t="n">
        <x:v>100</x:v>
      </x:c>
      <x:c r="H276" s="55" t="n">
        <x:v>140</x:v>
      </x:c>
      <x:c r="I276" s="67" t="n">
        <x:v>45000</x:v>
      </x:c>
      <x:c r="J276" s="79" t="n">
        <x:f>IF(OR(G276="",I276=""),"",I276*G276/1000)</x:f>
        <x:v>4500</x:v>
      </x:c>
      <x:c r="K276" s="63" t="n">
        <x:v>0.9</x:v>
      </x:c>
      <x:c r="L276" s="63" t="n">
        <x:v>1.25</x:v>
      </x:c>
      <x:c r="M276" s="67" t="n">
        <x:v>120</x:v>
      </x:c>
      <x:c r="N276" s="67" t="n">
        <x:v>240</x:v>
      </x:c>
      <x:c r="O276" s="55" t="n">
        <x:v>560</x:v>
      </x:c>
      <x:c r="P276" s="63" t="n">
        <x:v>0.1</x:v>
      </x:c>
      <x:c r="Q276" s="63" t="n">
        <x:v>0.25</x:v>
      </x:c>
      <x:c r="R276" s="55"/>
      <x:c r="S276" s="63" t="n">
        <x:v>1.204</x:v>
      </x:c>
      <x:c r="T276" s="55" t="n">
        <x:v>343.2</x:v>
      </x:c>
      <x:c r="U276" s="87" t="n">
        <x:f>IF(OR(S276="",T276=""),"",S276*T276)</x:f>
        <x:v>413.21279999999996</x:v>
      </x:c>
      <x:c r="V276" s="47" t="str">
        <x:v>DÜŞÜK</x:v>
      </x:c>
      <x:c r="W276" s="47" t="str"/>
      <x:c r="X276" s="51" t="str">
        <x:v>Mikroyapı ve sıkıştırma bilinmeden yalnız yoğunlukla güvenilir akustik karakterizasyon yapılamaz.</x:v>
      </x:c>
    </x:row>
  </x:sheetData>
  <x:mergeCells>
    <x:mergeCell ref="A1:X1"/>
    <x:mergeCell ref="A2:X2"/>
  </x:mergeCells>
  <x:pageMargins left="0.7" right="0.7" top="0.75" bottom="0.75" header="0.3" footer="0.3"/>
  <x:tableParts count="1">
    <x:tablePart xmlns:r="http://schemas.openxmlformats.org/officeDocument/2006/relationships" r:id="R713f8d8287bd4f5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4" hidden="0" customWidth="1"/>
    <x:col min="3" max="3" width="30" hidden="0" customWidth="1"/>
    <x:col min="4" max="4" width="17" hidden="0" customWidth="1"/>
    <x:col min="5" max="5" width="26" hidden="0" customWidth="1"/>
    <x:col min="6" max="6" width="24" hidden="0" customWidth="1"/>
    <x:col min="7" max="7" width="12" hidden="0" customWidth="1"/>
    <x:col min="8" max="8" width="15" hidden="0" customWidth="1"/>
    <x:col min="9" max="9" width="14" hidden="0" customWidth="1"/>
    <x:col min="10" max="10" width="15" hidden="0" customWidth="1"/>
    <x:col min="11" max="11" width="11" hidden="0" customWidth="1"/>
    <x:col min="12" max="12" width="13" hidden="0" customWidth="1"/>
    <x:col min="13" max="13" width="14" hidden="0" customWidth="1"/>
    <x:col min="14" max="14" width="14" hidden="0" customWidth="1"/>
    <x:col min="15" max="15" width="32" hidden="0" customWidth="1"/>
    <x:col min="16" max="16" width="30" hidden="0" customWidth="1"/>
    <x:col min="17" max="17" width="22" hidden="0" customWidth="1"/>
    <x:col min="18" max="18" width="44" hidden="0" customWidth="1"/>
    <x:col min="19" max="19" width="52" hidden="0" customWidth="1"/>
  </x:cols>
  <x:sheetData>
    <x:row r="1" ht="30" customHeight="1">
      <x:c r="A1" s="5" t="str">
        <x:v>SES BARİYERLERİ ve DAMPING MALZEMELERİ</x:v>
      </x:c>
    </x:row>
    <x:row r="2" ht="34" customHeight="1">
      <x:c r="A2" s="13" t="str">
        <x:v>Yüzey kütlesi, membranlarda birincil girdidir; damping malzemelerinde E' ve η frekans/sıcaklık bağımlıdır. Marka/model satırlarında veri bulunmayan hücreler kasıtlı olarak boş bırakılmıştır.</x:v>
      </x:c>
    </x:row>
    <x:row r="4" ht="42" customHeight="1">
      <x:c r="A4" s="23" t="str">
        <x:v>ID</x:v>
      </x:c>
      <x:c r="B4" s="23" t="str">
        <x:v>Grup</x:v>
      </x:c>
      <x:c r="C4" s="23" t="str">
        <x:v>Alt_Tür</x:v>
      </x:c>
      <x:c r="D4" s="23" t="str">
        <x:v>Üretici</x:v>
      </x:c>
      <x:c r="E4" s="23" t="str">
        <x:v>Model</x:v>
      </x:c>
      <x:c r="F4" s="23" t="str">
        <x:v>Veri_Sınıfı</x:v>
      </x:c>
      <x:c r="G4" s="23" t="str">
        <x:v>Kalınlık [mm]</x:v>
      </x:c>
      <x:c r="H4" s="23" t="str">
        <x:v>Yüzey_Kütlesi [kg/m²]</x:v>
      </x:c>
      <x:c r="I4" s="23" t="str">
        <x:v>Yoğunluk [kg/m³]</x:v>
      </x:c>
      <x:c r="J4" s="23" t="str">
        <x:v>E' veya G' [MPa]</x:v>
      </x:c>
      <x:c r="K4" s="23" t="str">
        <x:v>Poisson_ν [-]</x:v>
      </x:c>
      <x:c r="L4" s="23" t="str">
        <x:v>Kayıp_Faktörü_η [-]</x:v>
      </x:c>
      <x:c r="M4" s="23" t="str">
        <x:v>Referans_Sıcaklık [°C]</x:v>
      </x:c>
      <x:c r="N4" s="23" t="str">
        <x:v>Referans_Frekans [Hz]</x:v>
      </x:c>
      <x:c r="O4" s="23" t="str">
        <x:v>Uygulama / Sistem</x:v>
      </x:c>
      <x:c r="P4" s="23" t="str">
        <x:v>Akustik_Sonuç</x:v>
      </x:c>
      <x:c r="Q4" s="23" t="str">
        <x:v>Güven_Düzeyi</x:v>
      </x:c>
      <x:c r="R4" s="23" t="str">
        <x:v>Kaynak_URL</x:v>
      </x:c>
      <x:c r="S4" s="23" t="str">
        <x:v>Notlar</x:v>
      </x:c>
    </x:row>
    <x:row r="5">
      <x:c r="A5" s="46" t="str">
        <x:v>MLV-2</x:v>
      </x:c>
      <x:c r="B5" s="46" t="str">
        <x:v>Ses bariyeri</x:v>
      </x:c>
      <x:c r="C5" s="46" t="str">
        <x:v>Yüksek yüzey kütleli esnek bariyer</x:v>
      </x:c>
      <x:c r="D5" s="46" t="str">
        <x:v>GENERIC</x:v>
      </x:c>
      <x:c r="E5" s="46" t="str">
        <x:v>MLV 2 kg/m²</x:v>
      </x:c>
      <x:c r="F5" s="70" t="str">
        <x:v>ENGINEERING_DEFAULT</x:v>
      </x:c>
      <x:c r="G5" s="62" t="n">
        <x:v>1</x:v>
      </x:c>
      <x:c r="H5" s="62" t="n">
        <x:v>2</x:v>
      </x:c>
      <x:c r="I5" s="54" t="n">
        <x:v>2000</x:v>
      </x:c>
      <x:c r="J5" s="62" t="n">
        <x:v>5</x:v>
      </x:c>
      <x:c r="K5" s="62" t="n">
        <x:v>0.49</x:v>
      </x:c>
      <x:c r="L5" s="62" t="n">
        <x:v>0.15</x:v>
      </x:c>
      <x:c r="M5" s="54" t="n">
        <x:v>20</x:v>
      </x:c>
      <x:c r="N5" s="54" t="n">
        <x:v>500</x:v>
      </x:c>
      <x:c r="O5" s="46" t="str">
        <x:v>Çift kabuk içinde serbest/gevşek veya levhaya bağlı</x:v>
      </x:c>
      <x:c r="P5" s="46" t="str">
        <x:v>Sistem R/Rw artışı bağlantı ve montaja bağlıdır.</x:v>
      </x:c>
      <x:c r="Q5" s="46" t="str">
        <x:v>DÜŞÜK</x:v>
      </x:c>
      <x:c r="R5" s="46" t="str"/>
      <x:c r="S5" s="50" t="str">
        <x:v>E ve η frekans/sıcaklığa bağlı temsili değerlerdir. MLV için yüzey kütlesi birincil girdidir.</x:v>
      </x:c>
    </x:row>
    <x:row r="6">
      <x:c r="A6" s="46" t="str">
        <x:v>MLV-3</x:v>
      </x:c>
      <x:c r="B6" s="46" t="str">
        <x:v>Ses bariyeri</x:v>
      </x:c>
      <x:c r="C6" s="46" t="str">
        <x:v>Yüksek yüzey kütleli esnek bariyer</x:v>
      </x:c>
      <x:c r="D6" s="46" t="str">
        <x:v>GENERIC</x:v>
      </x:c>
      <x:c r="E6" s="46" t="str">
        <x:v>MLV 3 kg/m²</x:v>
      </x:c>
      <x:c r="F6" s="70" t="str">
        <x:v>ENGINEERING_DEFAULT</x:v>
      </x:c>
      <x:c r="G6" s="62" t="n">
        <x:v>1.5</x:v>
      </x:c>
      <x:c r="H6" s="62" t="n">
        <x:v>3</x:v>
      </x:c>
      <x:c r="I6" s="54" t="n">
        <x:v>2000</x:v>
      </x:c>
      <x:c r="J6" s="62" t="n">
        <x:v>5</x:v>
      </x:c>
      <x:c r="K6" s="62" t="n">
        <x:v>0.49</x:v>
      </x:c>
      <x:c r="L6" s="62" t="n">
        <x:v>0.15</x:v>
      </x:c>
      <x:c r="M6" s="54" t="n">
        <x:v>20</x:v>
      </x:c>
      <x:c r="N6" s="54" t="n">
        <x:v>500</x:v>
      </x:c>
      <x:c r="O6" s="46" t="str">
        <x:v>Çift kabuk içinde serbest/gevşek veya levhaya bağlı</x:v>
      </x:c>
      <x:c r="P6" s="46" t="str">
        <x:v>Sistem R/Rw artışı bağlantı ve montaja bağlıdır.</x:v>
      </x:c>
      <x:c r="Q6" s="46" t="str">
        <x:v>DÜŞÜK</x:v>
      </x:c>
      <x:c r="R6" s="46" t="str"/>
      <x:c r="S6" s="50" t="str">
        <x:v>E ve η frekans/sıcaklığa bağlı temsili değerlerdir. MLV için yüzey kütlesi birincil girdidir.</x:v>
      </x:c>
    </x:row>
    <x:row r="7">
      <x:c r="A7" s="46" t="str">
        <x:v>MLV-5</x:v>
      </x:c>
      <x:c r="B7" s="46" t="str">
        <x:v>Ses bariyeri</x:v>
      </x:c>
      <x:c r="C7" s="46" t="str">
        <x:v>Yüksek yüzey kütleli esnek bariyer</x:v>
      </x:c>
      <x:c r="D7" s="46" t="str">
        <x:v>GENERIC</x:v>
      </x:c>
      <x:c r="E7" s="46" t="str">
        <x:v>MLV 5 kg/m²</x:v>
      </x:c>
      <x:c r="F7" s="70" t="str">
        <x:v>ENGINEERING_DEFAULT</x:v>
      </x:c>
      <x:c r="G7" s="62" t="n">
        <x:v>2.5</x:v>
      </x:c>
      <x:c r="H7" s="62" t="n">
        <x:v>5</x:v>
      </x:c>
      <x:c r="I7" s="54" t="n">
        <x:v>2000</x:v>
      </x:c>
      <x:c r="J7" s="62" t="n">
        <x:v>5</x:v>
      </x:c>
      <x:c r="K7" s="62" t="n">
        <x:v>0.49</x:v>
      </x:c>
      <x:c r="L7" s="62" t="n">
        <x:v>0.15</x:v>
      </x:c>
      <x:c r="M7" s="54" t="n">
        <x:v>20</x:v>
      </x:c>
      <x:c r="N7" s="54" t="n">
        <x:v>500</x:v>
      </x:c>
      <x:c r="O7" s="46" t="str">
        <x:v>Çift kabuk içinde serbest/gevşek veya levhaya bağlı</x:v>
      </x:c>
      <x:c r="P7" s="46" t="str">
        <x:v>Sistem R/Rw artışı bağlantı ve montaja bağlıdır.</x:v>
      </x:c>
      <x:c r="Q7" s="46" t="str">
        <x:v>DÜŞÜK</x:v>
      </x:c>
      <x:c r="R7" s="46" t="str"/>
      <x:c r="S7" s="50" t="str">
        <x:v>E ve η frekans/sıcaklığa bağlı temsili değerlerdir. MLV için yüzey kütlesi birincil girdidir.</x:v>
      </x:c>
    </x:row>
    <x:row r="8">
      <x:c r="A8" s="46" t="str">
        <x:v>MLV-7p5</x:v>
      </x:c>
      <x:c r="B8" s="46" t="str">
        <x:v>Ses bariyeri</x:v>
      </x:c>
      <x:c r="C8" s="46" t="str">
        <x:v>Yüksek yüzey kütleli esnek bariyer</x:v>
      </x:c>
      <x:c r="D8" s="46" t="str">
        <x:v>GENERIC</x:v>
      </x:c>
      <x:c r="E8" s="46" t="str">
        <x:v>MLV 7.5 kg/m²</x:v>
      </x:c>
      <x:c r="F8" s="70" t="str">
        <x:v>ENGINEERING_DEFAULT</x:v>
      </x:c>
      <x:c r="G8" s="62" t="n">
        <x:v>3.75</x:v>
      </x:c>
      <x:c r="H8" s="62" t="n">
        <x:v>7.5</x:v>
      </x:c>
      <x:c r="I8" s="54" t="n">
        <x:v>2000</x:v>
      </x:c>
      <x:c r="J8" s="62" t="n">
        <x:v>5</x:v>
      </x:c>
      <x:c r="K8" s="62" t="n">
        <x:v>0.49</x:v>
      </x:c>
      <x:c r="L8" s="62" t="n">
        <x:v>0.15</x:v>
      </x:c>
      <x:c r="M8" s="54" t="n">
        <x:v>20</x:v>
      </x:c>
      <x:c r="N8" s="54" t="n">
        <x:v>500</x:v>
      </x:c>
      <x:c r="O8" s="46" t="str">
        <x:v>Çift kabuk içinde serbest/gevşek veya levhaya bağlı</x:v>
      </x:c>
      <x:c r="P8" s="46" t="str">
        <x:v>Sistem R/Rw artışı bağlantı ve montaja bağlıdır.</x:v>
      </x:c>
      <x:c r="Q8" s="46" t="str">
        <x:v>DÜŞÜK</x:v>
      </x:c>
      <x:c r="R8" s="46" t="str"/>
      <x:c r="S8" s="50" t="str">
        <x:v>E ve η frekans/sıcaklığa bağlı temsili değerlerdir. MLV için yüzey kütlesi birincil girdidir.</x:v>
      </x:c>
    </x:row>
    <x:row r="9">
      <x:c r="A9" s="46" t="str">
        <x:v>MLV-10</x:v>
      </x:c>
      <x:c r="B9" s="46" t="str">
        <x:v>Ses bariyeri</x:v>
      </x:c>
      <x:c r="C9" s="46" t="str">
        <x:v>Yüksek yüzey kütleli esnek bariyer</x:v>
      </x:c>
      <x:c r="D9" s="46" t="str">
        <x:v>GENERIC</x:v>
      </x:c>
      <x:c r="E9" s="46" t="str">
        <x:v>MLV 10 kg/m²</x:v>
      </x:c>
      <x:c r="F9" s="70" t="str">
        <x:v>ENGINEERING_DEFAULT</x:v>
      </x:c>
      <x:c r="G9" s="62" t="n">
        <x:v>5</x:v>
      </x:c>
      <x:c r="H9" s="62" t="n">
        <x:v>10</x:v>
      </x:c>
      <x:c r="I9" s="54" t="n">
        <x:v>2000</x:v>
      </x:c>
      <x:c r="J9" s="62" t="n">
        <x:v>5</x:v>
      </x:c>
      <x:c r="K9" s="62" t="n">
        <x:v>0.49</x:v>
      </x:c>
      <x:c r="L9" s="62" t="n">
        <x:v>0.15</x:v>
      </x:c>
      <x:c r="M9" s="54" t="n">
        <x:v>20</x:v>
      </x:c>
      <x:c r="N9" s="54" t="n">
        <x:v>500</x:v>
      </x:c>
      <x:c r="O9" s="46" t="str">
        <x:v>Çift kabuk içinde serbest/gevşek veya levhaya bağlı</x:v>
      </x:c>
      <x:c r="P9" s="46" t="str">
        <x:v>Sistem R/Rw artışı bağlantı ve montaja bağlıdır.</x:v>
      </x:c>
      <x:c r="Q9" s="46" t="str">
        <x:v>DÜŞÜK</x:v>
      </x:c>
      <x:c r="R9" s="46" t="str"/>
      <x:c r="S9" s="50" t="str">
        <x:v>E ve η frekans/sıcaklığa bağlı temsili değerlerdir. MLV için yüzey kütlesi birincil girdidir.</x:v>
      </x:c>
    </x:row>
    <x:row r="10">
      <x:c r="A10" s="46" t="str">
        <x:v>BIT-MEM-2</x:v>
      </x:c>
      <x:c r="B10" s="46" t="str">
        <x:v>Ses bariyeri</x:v>
      </x:c>
      <x:c r="C10" s="46" t="str">
        <x:v>Bitümlü ağır membran</x:v>
      </x:c>
      <x:c r="D10" s="46" t="str">
        <x:v>GENERIC</x:v>
      </x:c>
      <x:c r="E10" s="46" t="str">
        <x:v>Bituminous membrane 2 mm</x:v>
      </x:c>
      <x:c r="F10" s="70" t="str">
        <x:v>ENGINEERING_DEFAULT</x:v>
      </x:c>
      <x:c r="G10" s="62" t="n">
        <x:v>2</x:v>
      </x:c>
      <x:c r="H10" s="62" t="n">
        <x:v>3.6</x:v>
      </x:c>
      <x:c r="I10" s="54" t="n">
        <x:v>1800</x:v>
      </x:c>
      <x:c r="J10" s="62" t="n">
        <x:v>50</x:v>
      </x:c>
      <x:c r="K10" s="62" t="n">
        <x:v>0.45</x:v>
      </x:c>
      <x:c r="L10" s="62" t="n">
        <x:v>0.08</x:v>
      </x:c>
      <x:c r="M10" s="54" t="n">
        <x:v>20</x:v>
      </x:c>
      <x:c r="N10" s="54" t="n">
        <x:v>500</x:v>
      </x:c>
      <x:c r="O10" s="46" t="str">
        <x:v>Levha üzerine bağlı veya sandviç</x:v>
      </x:c>
      <x:c r="P10" s="46" t="str"/>
      <x:c r="Q10" s="46" t="str">
        <x:v>DÜŞÜK</x:v>
      </x:c>
      <x:c r="R10" s="46" t="str"/>
      <x:c r="S10" s="50" t="str">
        <x:v>Soğukta sertleşme ve sıcaklık etkisi büyüktür.</x:v>
      </x:c>
    </x:row>
    <x:row r="11">
      <x:c r="A11" s="46" t="str">
        <x:v>BIT-MEM-4</x:v>
      </x:c>
      <x:c r="B11" s="46" t="str">
        <x:v>Ses bariyeri</x:v>
      </x:c>
      <x:c r="C11" s="46" t="str">
        <x:v>Bitümlü ağır membran</x:v>
      </x:c>
      <x:c r="D11" s="46" t="str">
        <x:v>GENERIC</x:v>
      </x:c>
      <x:c r="E11" s="46" t="str">
        <x:v>Bituminous membrane 4 mm</x:v>
      </x:c>
      <x:c r="F11" s="70" t="str">
        <x:v>ENGINEERING_DEFAULT</x:v>
      </x:c>
      <x:c r="G11" s="62" t="n">
        <x:v>4</x:v>
      </x:c>
      <x:c r="H11" s="62" t="n">
        <x:v>7.2</x:v>
      </x:c>
      <x:c r="I11" s="54" t="n">
        <x:v>1800</x:v>
      </x:c>
      <x:c r="J11" s="62" t="n">
        <x:v>50</x:v>
      </x:c>
      <x:c r="K11" s="62" t="n">
        <x:v>0.45</x:v>
      </x:c>
      <x:c r="L11" s="62" t="n">
        <x:v>0.08</x:v>
      </x:c>
      <x:c r="M11" s="54" t="n">
        <x:v>20</x:v>
      </x:c>
      <x:c r="N11" s="54" t="n">
        <x:v>500</x:v>
      </x:c>
      <x:c r="O11" s="46" t="str">
        <x:v>Levha üzerine bağlı veya sandviç</x:v>
      </x:c>
      <x:c r="P11" s="46" t="str"/>
      <x:c r="Q11" s="46" t="str">
        <x:v>DÜŞÜK</x:v>
      </x:c>
      <x:c r="R11" s="46" t="str"/>
      <x:c r="S11" s="50" t="str">
        <x:v>Soğukta sertleşme ve sıcaklık etkisi büyüktür.</x:v>
      </x:c>
    </x:row>
    <x:row r="12">
      <x:c r="A12" s="46" t="str">
        <x:v>BIT-MEM-6</x:v>
      </x:c>
      <x:c r="B12" s="46" t="str">
        <x:v>Ses bariyeri</x:v>
      </x:c>
      <x:c r="C12" s="46" t="str">
        <x:v>Bitümlü ağır membran</x:v>
      </x:c>
      <x:c r="D12" s="46" t="str">
        <x:v>GENERIC</x:v>
      </x:c>
      <x:c r="E12" s="46" t="str">
        <x:v>Bituminous membrane 6 mm</x:v>
      </x:c>
      <x:c r="F12" s="70" t="str">
        <x:v>ENGINEERING_DEFAULT</x:v>
      </x:c>
      <x:c r="G12" s="62" t="n">
        <x:v>6</x:v>
      </x:c>
      <x:c r="H12" s="62" t="n">
        <x:v>10.8</x:v>
      </x:c>
      <x:c r="I12" s="54" t="n">
        <x:v>1800</x:v>
      </x:c>
      <x:c r="J12" s="62" t="n">
        <x:v>50</x:v>
      </x:c>
      <x:c r="K12" s="62" t="n">
        <x:v>0.45</x:v>
      </x:c>
      <x:c r="L12" s="62" t="n">
        <x:v>0.08</x:v>
      </x:c>
      <x:c r="M12" s="54" t="n">
        <x:v>20</x:v>
      </x:c>
      <x:c r="N12" s="54" t="n">
        <x:v>500</x:v>
      </x:c>
      <x:c r="O12" s="46" t="str">
        <x:v>Levha üzerine bağlı veya sandviç</x:v>
      </x:c>
      <x:c r="P12" s="46" t="str"/>
      <x:c r="Q12" s="46" t="str">
        <x:v>DÜŞÜK</x:v>
      </x:c>
      <x:c r="R12" s="46" t="str"/>
      <x:c r="S12" s="50" t="str">
        <x:v>Soğukta sertleşme ve sıcaklık etkisi büyüktür.</x:v>
      </x:c>
    </x:row>
    <x:row r="13">
      <x:c r="A13" s="46" t="str">
        <x:v>TECSOUND-35</x:v>
      </x:c>
      <x:c r="B13" s="46" t="str">
        <x:v>Ses bariyeri</x:v>
      </x:c>
      <x:c r="C13" s="46" t="str">
        <x:v>Yüksek yoğunluklu viskoelastik membran</x:v>
      </x:c>
      <x:c r="D13" s="46" t="str">
        <x:v>SOPREMA</x:v>
      </x:c>
      <x:c r="E13" s="46" t="str">
        <x:v>TECSOUND 35</x:v>
      </x:c>
      <x:c r="F13" s="70" t="str">
        <x:v>MANUFACTURER_VERIFIED_PARTIAL</x:v>
      </x:c>
      <x:c r="G13" s="62" t="n">
        <x:v>1.75</x:v>
      </x:c>
      <x:c r="H13" s="62" t="n">
        <x:v>3.5</x:v>
      </x:c>
      <x:c r="I13" s="54" t="n">
        <x:v>2000</x:v>
      </x:c>
      <x:c r="J13" s="62"/>
      <x:c r="K13" s="62" t="n">
        <x:v>0.49</x:v>
      </x:c>
      <x:c r="L13" s="62"/>
      <x:c r="M13" s="54"/>
      <x:c r="N13" s="54"/>
      <x:c r="O13" s="46" t="str">
        <x:v>Duvar, tavan, kanal ve hafif yapı katmanı</x:v>
      </x:c>
      <x:c r="P13" s="46" t="str">
        <x:v>Ürün tek başına Rw değildir; sistem testi gerekir.</x:v>
      </x:c>
      <x:c r="Q13" s="46" t="str">
        <x:v>YÜKSEK (d,m,ρ)</x:v>
      </x:c>
      <x:c r="R13" s="46" t="str">
        <x:v>https://apac.soprema.com/product/tecsound-829/</x:v>
      </x:c>
      <x:c r="S13" s="50" t="str">
        <x:v>Geometrik ve yüzey kütlesi üretici sayfası; dinamik modül/kayıp faktörü verilmemiştir.</x:v>
      </x:c>
    </x:row>
    <x:row r="14">
      <x:c r="A14" s="46" t="str">
        <x:v>TECSOUND-50</x:v>
      </x:c>
      <x:c r="B14" s="46" t="str">
        <x:v>Ses bariyeri</x:v>
      </x:c>
      <x:c r="C14" s="46" t="str">
        <x:v>Yüksek yoğunluklu viskoelastik membran</x:v>
      </x:c>
      <x:c r="D14" s="46" t="str">
        <x:v>SOPREMA</x:v>
      </x:c>
      <x:c r="E14" s="46" t="str">
        <x:v>TECSOUND 50</x:v>
      </x:c>
      <x:c r="F14" s="70" t="str">
        <x:v>MANUFACTURER_VERIFIED_PARTIAL</x:v>
      </x:c>
      <x:c r="G14" s="62" t="n">
        <x:v>2.5</x:v>
      </x:c>
      <x:c r="H14" s="62" t="n">
        <x:v>5</x:v>
      </x:c>
      <x:c r="I14" s="54" t="n">
        <x:v>2000</x:v>
      </x:c>
      <x:c r="J14" s="62"/>
      <x:c r="K14" s="62" t="n">
        <x:v>0.49</x:v>
      </x:c>
      <x:c r="L14" s="62"/>
      <x:c r="M14" s="54"/>
      <x:c r="N14" s="54"/>
      <x:c r="O14" s="46" t="str">
        <x:v>Duvar, tavan, kanal ve hafif yapı katmanı</x:v>
      </x:c>
      <x:c r="P14" s="46" t="str">
        <x:v>Ürün tek başına Rw değildir; sistem testi gerekir.</x:v>
      </x:c>
      <x:c r="Q14" s="46" t="str">
        <x:v>YÜKSEK (d,m,ρ)</x:v>
      </x:c>
      <x:c r="R14" s="46" t="str">
        <x:v>https://apac.soprema.com/product/tecsound-829/</x:v>
      </x:c>
      <x:c r="S14" s="50" t="str">
        <x:v>Geometrik ve yüzey kütlesi üretici sayfası; dinamik modül/kayıp faktörü verilmemiştir.</x:v>
      </x:c>
    </x:row>
    <x:row r="15">
      <x:c r="A15" s="46" t="str">
        <x:v>TECSOUND-70</x:v>
      </x:c>
      <x:c r="B15" s="46" t="str">
        <x:v>Ses bariyeri</x:v>
      </x:c>
      <x:c r="C15" s="46" t="str">
        <x:v>Yüksek yoğunluklu viskoelastik membran</x:v>
      </x:c>
      <x:c r="D15" s="46" t="str">
        <x:v>SOPREMA</x:v>
      </x:c>
      <x:c r="E15" s="46" t="str">
        <x:v>TECSOUND 70</x:v>
      </x:c>
      <x:c r="F15" s="70" t="str">
        <x:v>MANUFACTURER_VERIFIED_PARTIAL</x:v>
      </x:c>
      <x:c r="G15" s="62" t="n">
        <x:v>3.5</x:v>
      </x:c>
      <x:c r="H15" s="62" t="n">
        <x:v>7</x:v>
      </x:c>
      <x:c r="I15" s="54" t="n">
        <x:v>2000</x:v>
      </x:c>
      <x:c r="J15" s="62"/>
      <x:c r="K15" s="62" t="n">
        <x:v>0.49</x:v>
      </x:c>
      <x:c r="L15" s="62"/>
      <x:c r="M15" s="54"/>
      <x:c r="N15" s="54"/>
      <x:c r="O15" s="46" t="str">
        <x:v>Duvar, tavan, kanal ve hafif yapı katmanı</x:v>
      </x:c>
      <x:c r="P15" s="46" t="str">
        <x:v>Ürün tek başına Rw değildir; sistem testi gerekir.</x:v>
      </x:c>
      <x:c r="Q15" s="46" t="str">
        <x:v>YÜKSEK (d,m,ρ)</x:v>
      </x:c>
      <x:c r="R15" s="46" t="str">
        <x:v>https://apac.soprema.com/product/tecsound-829/</x:v>
      </x:c>
      <x:c r="S15" s="50" t="str">
        <x:v>Geometrik ve yüzey kütlesi üretici sayfası; dinamik modül/kayıp faktörü verilmemiştir.</x:v>
      </x:c>
    </x:row>
    <x:row r="16">
      <x:c r="A16" s="46" t="str">
        <x:v>TECSOUND-100</x:v>
      </x:c>
      <x:c r="B16" s="46" t="str">
        <x:v>Ses bariyeri</x:v>
      </x:c>
      <x:c r="C16" s="46" t="str">
        <x:v>Yüksek yoğunluklu viskoelastik membran</x:v>
      </x:c>
      <x:c r="D16" s="46" t="str">
        <x:v>SOPREMA</x:v>
      </x:c>
      <x:c r="E16" s="46" t="str">
        <x:v>TECSOUND 100</x:v>
      </x:c>
      <x:c r="F16" s="70" t="str">
        <x:v>MANUFACTURER_VERIFIED_PARTIAL</x:v>
      </x:c>
      <x:c r="G16" s="62" t="n">
        <x:v>5</x:v>
      </x:c>
      <x:c r="H16" s="62" t="n">
        <x:v>10</x:v>
      </x:c>
      <x:c r="I16" s="54" t="n">
        <x:v>2000</x:v>
      </x:c>
      <x:c r="J16" s="62"/>
      <x:c r="K16" s="62" t="n">
        <x:v>0.49</x:v>
      </x:c>
      <x:c r="L16" s="62"/>
      <x:c r="M16" s="54"/>
      <x:c r="N16" s="54"/>
      <x:c r="O16" s="46" t="str">
        <x:v>Duvar, tavan, kanal ve hafif yapı katmanı</x:v>
      </x:c>
      <x:c r="P16" s="46" t="str">
        <x:v>Ürün tek başına Rw değildir; sistem testi gerekir.</x:v>
      </x:c>
      <x:c r="Q16" s="46" t="str">
        <x:v>YÜKSEK (d,m,ρ)</x:v>
      </x:c>
      <x:c r="R16" s="46" t="str">
        <x:v>https://apac.soprema.com/product/tecsound-829/</x:v>
      </x:c>
      <x:c r="S16" s="50" t="str">
        <x:v>Geometrik ve yüzey kütlesi üretici sayfası; dinamik modül/kayıp faktörü verilmemiştir.</x:v>
      </x:c>
    </x:row>
    <x:row r="17">
      <x:c r="A17" s="46" t="str">
        <x:v>DANOSA-MAD2</x:v>
      </x:c>
      <x:c r="B17" s="46" t="str">
        <x:v>Ses bariyeri</x:v>
      </x:c>
      <x:c r="C17" s="46" t="str">
        <x:v>Akustik membran / kompozit</x:v>
      </x:c>
      <x:c r="D17" s="46" t="str">
        <x:v>DANOSA</x:v>
      </x:c>
      <x:c r="E17" s="46" t="str">
        <x:v>MAD2</x:v>
      </x:c>
      <x:c r="F17" s="70" t="str">
        <x:v>PRODUCT_REFERENCE</x:v>
      </x:c>
      <x:c r="G17" s="62"/>
      <x:c r="H17" s="62"/>
      <x:c r="I17" s="54"/>
      <x:c r="J17" s="62"/>
      <x:c r="K17" s="62"/>
      <x:c r="L17" s="62"/>
      <x:c r="M17" s="54"/>
      <x:c r="N17" s="54"/>
      <x:c r="O17" s="46" t="str">
        <x:v>Üretici sistem detayına göre</x:v>
      </x:c>
      <x:c r="P17" s="46" t="str"/>
      <x:c r="Q17" s="46" t="str">
        <x:v>ÜRÜN REFERANSI</x:v>
      </x:c>
      <x:c r="R17" s="46" t="str">
        <x:v>https://www.danosa.com/global/product/mad2/</x:v>
      </x:c>
      <x:c r="S17" s="50" t="str">
        <x:v>Kesin d, m', dinamik E ve η güncel teknik föy/test raporundan girilmelidir; model adı veri yerine kullanılmamalıdır.</x:v>
      </x:c>
    </x:row>
    <x:row r="18">
      <x:c r="A18" s="46" t="str">
        <x:v>DANOSA-MAD4</x:v>
      </x:c>
      <x:c r="B18" s="46" t="str">
        <x:v>Ses bariyeri</x:v>
      </x:c>
      <x:c r="C18" s="46" t="str">
        <x:v>Akustik membran / kompozit</x:v>
      </x:c>
      <x:c r="D18" s="46" t="str">
        <x:v>DANOSA</x:v>
      </x:c>
      <x:c r="E18" s="46" t="str">
        <x:v>MAD4</x:v>
      </x:c>
      <x:c r="F18" s="70" t="str">
        <x:v>PRODUCT_REFERENCE</x:v>
      </x:c>
      <x:c r="G18" s="62"/>
      <x:c r="H18" s="62"/>
      <x:c r="I18" s="54"/>
      <x:c r="J18" s="62"/>
      <x:c r="K18" s="62"/>
      <x:c r="L18" s="62"/>
      <x:c r="M18" s="54"/>
      <x:c r="N18" s="54"/>
      <x:c r="O18" s="46" t="str">
        <x:v>Üretici sistem detayına göre</x:v>
      </x:c>
      <x:c r="P18" s="46" t="str"/>
      <x:c r="Q18" s="46" t="str">
        <x:v>ÜRÜN REFERANSI</x:v>
      </x:c>
      <x:c r="R18" s="46" t="str">
        <x:v>https://www.danosa.com/global/product/mad4/</x:v>
      </x:c>
      <x:c r="S18" s="50" t="str">
        <x:v>Kesin d, m', dinamik E ve η güncel teknik föy/test raporundan girilmelidir; model adı veri yerine kullanılmamalıdır.</x:v>
      </x:c>
    </x:row>
    <x:row r="19">
      <x:c r="A19" s="46" t="str">
        <x:v>DANOSA-MAD6</x:v>
      </x:c>
      <x:c r="B19" s="46" t="str">
        <x:v>Ses bariyeri</x:v>
      </x:c>
      <x:c r="C19" s="46" t="str">
        <x:v>Akustik membran / kompozit</x:v>
      </x:c>
      <x:c r="D19" s="46" t="str">
        <x:v>DANOSA</x:v>
      </x:c>
      <x:c r="E19" s="46" t="str">
        <x:v>MAD6</x:v>
      </x:c>
      <x:c r="F19" s="70" t="str">
        <x:v>PRODUCT_REFERENCE</x:v>
      </x:c>
      <x:c r="G19" s="62"/>
      <x:c r="H19" s="62"/>
      <x:c r="I19" s="54"/>
      <x:c r="J19" s="62"/>
      <x:c r="K19" s="62"/>
      <x:c r="L19" s="62"/>
      <x:c r="M19" s="54"/>
      <x:c r="N19" s="54"/>
      <x:c r="O19" s="46" t="str">
        <x:v>Üretici sistem detayına göre</x:v>
      </x:c>
      <x:c r="P19" s="46" t="str"/>
      <x:c r="Q19" s="46" t="str">
        <x:v>ÜRÜN REFERANSI</x:v>
      </x:c>
      <x:c r="R19" s="46" t="str">
        <x:v>https://www.danosa.com/global/product/mad6/</x:v>
      </x:c>
      <x:c r="S19" s="50" t="str">
        <x:v>Kesin d, m', dinamik E ve η güncel teknik föy/test raporundan girilmelidir; model adı veri yerine kullanılmamalıdır.</x:v>
      </x:c>
    </x:row>
    <x:row r="20">
      <x:c r="A20" s="46" t="str">
        <x:v>DANOSA-DANOFON</x:v>
      </x:c>
      <x:c r="B20" s="46" t="str">
        <x:v>Ses bariyeri</x:v>
      </x:c>
      <x:c r="C20" s="46" t="str">
        <x:v>Akustik membran / kompozit</x:v>
      </x:c>
      <x:c r="D20" s="46" t="str">
        <x:v>DANOSA</x:v>
      </x:c>
      <x:c r="E20" s="46" t="str">
        <x:v>DANOFON</x:v>
      </x:c>
      <x:c r="F20" s="70" t="str">
        <x:v>PRODUCT_REFERENCE</x:v>
      </x:c>
      <x:c r="G20" s="62"/>
      <x:c r="H20" s="62"/>
      <x:c r="I20" s="54"/>
      <x:c r="J20" s="62"/>
      <x:c r="K20" s="62"/>
      <x:c r="L20" s="62"/>
      <x:c r="M20" s="54"/>
      <x:c r="N20" s="54"/>
      <x:c r="O20" s="46" t="str">
        <x:v>Üretici sistem detayına göre</x:v>
      </x:c>
      <x:c r="P20" s="46" t="str"/>
      <x:c r="Q20" s="46" t="str">
        <x:v>ÜRÜN REFERANSI</x:v>
      </x:c>
      <x:c r="R20" s="46" t="str">
        <x:v>https://www.danosa.com/global/product/danofon/</x:v>
      </x:c>
      <x:c r="S20" s="50" t="str">
        <x:v>Kesin d, m', dinamik E ve η güncel teknik föy/test raporundan girilmelidir; model adı veri yerine kullanılmamalıdır.</x:v>
      </x:c>
    </x:row>
    <x:row r="21">
      <x:c r="A21" s="46" t="str">
        <x:v>DANOSA-ACUSTIDAN</x:v>
      </x:c>
      <x:c r="B21" s="46" t="str">
        <x:v>Ses bariyeri</x:v>
      </x:c>
      <x:c r="C21" s="46" t="str">
        <x:v>Akustik membran / kompozit</x:v>
      </x:c>
      <x:c r="D21" s="46" t="str">
        <x:v>DANOSA</x:v>
      </x:c>
      <x:c r="E21" s="46" t="str">
        <x:v>ACUSTIDAN</x:v>
      </x:c>
      <x:c r="F21" s="70" t="str">
        <x:v>PRODUCT_REFERENCE</x:v>
      </x:c>
      <x:c r="G21" s="62"/>
      <x:c r="H21" s="62"/>
      <x:c r="I21" s="54"/>
      <x:c r="J21" s="62"/>
      <x:c r="K21" s="62"/>
      <x:c r="L21" s="62"/>
      <x:c r="M21" s="54"/>
      <x:c r="N21" s="54"/>
      <x:c r="O21" s="46" t="str">
        <x:v>Üretici sistem detayına göre</x:v>
      </x:c>
      <x:c r="P21" s="46" t="str"/>
      <x:c r="Q21" s="46" t="str">
        <x:v>ÜRÜN REFERANSI</x:v>
      </x:c>
      <x:c r="R21" s="46" t="str">
        <x:v>https://www.danosa.com/global/product/acustidan/</x:v>
      </x:c>
      <x:c r="S21" s="50" t="str">
        <x:v>Kesin d, m', dinamik E ve η güncel teknik föy/test raporundan girilmelidir; model adı veri yerine kullanılmamalıdır.</x:v>
      </x:c>
    </x:row>
    <x:row r="22">
      <x:c r="A22" s="46" t="str">
        <x:v>SP150-MAT-31p5</x:v>
      </x:c>
      <x:c r="B22" s="46" t="str">
        <x:v>Damping</x:v>
      </x:c>
      <x:c r="C22" s="46" t="str">
        <x:v>Püskürtme viskoelastik sönümleyici</x:v>
      </x:c>
      <x:c r="D22" s="46" t="str">
        <x:v>Pyrotek</x:v>
      </x:c>
      <x:c r="E22" s="46" t="str">
        <x:v>Decidamp SP150</x:v>
      </x:c>
      <x:c r="F22" s="70" t="str">
        <x:v>MANUFACTURER_FREQUENCY_DATA</x:v>
      </x:c>
      <x:c r="G22" s="62" t="n">
        <x:v>1</x:v>
      </x:c>
      <x:c r="H22" s="62" t="n">
        <x:v>1.6</x:v>
      </x:c>
      <x:c r="I22" s="54" t="n">
        <x:v>1600</x:v>
      </x:c>
      <x:c r="J22" s="62" t="n">
        <x:v>3000</x:v>
      </x:c>
      <x:c r="K22" s="62" t="n">
        <x:v>0.49</x:v>
      </x:c>
      <x:c r="L22" s="62" t="n">
        <x:v>0.24</x:v>
      </x:c>
      <x:c r="M22" s="54" t="n">
        <x:v>20</x:v>
      </x:c>
      <x:c r="N22" s="54" t="n">
        <x:v>31.5</x:v>
      </x:c>
      <x:c r="O22" s="46" t="str">
        <x:v>Serbest tabaka / panel üzeri kaplama</x:v>
      </x:c>
      <x:c r="P22" s="46" t="str">
        <x:v>Malzeme E' ve η frekans tablosu</x:v>
      </x:c>
      <x:c r="Q22" s="46" t="str">
        <x:v>YÜKSEK</x:v>
      </x:c>
      <x:c r="R22" s="46" t="str">
        <x:v>https://www.pyroteknc.com/assets/documents/DECIDAMP-SP150-TDS-113IP-1-v5.pdf</x:v>
      </x:c>
      <x:c r="S22" s="50" t="str">
        <x:v>1 mm kuru film için m'≈1.6 kg/m². E' ve η üretici grafiği/tablosu; sıcaklık ve kür koşulu doğrulanmalıdır.</x:v>
      </x:c>
    </x:row>
    <x:row r="23">
      <x:c r="A23" s="46" t="str">
        <x:v>SP150-MAT-63</x:v>
      </x:c>
      <x:c r="B23" s="46" t="str">
        <x:v>Damping</x:v>
      </x:c>
      <x:c r="C23" s="46" t="str">
        <x:v>Püskürtme viskoelastik sönümleyici</x:v>
      </x:c>
      <x:c r="D23" s="46" t="str">
        <x:v>Pyrotek</x:v>
      </x:c>
      <x:c r="E23" s="46" t="str">
        <x:v>Decidamp SP150</x:v>
      </x:c>
      <x:c r="F23" s="70" t="str">
        <x:v>MANUFACTURER_FREQUENCY_DATA</x:v>
      </x:c>
      <x:c r="G23" s="62" t="n">
        <x:v>1</x:v>
      </x:c>
      <x:c r="H23" s="62" t="n">
        <x:v>1.6</x:v>
      </x:c>
      <x:c r="I23" s="54" t="n">
        <x:v>1600</x:v>
      </x:c>
      <x:c r="J23" s="62" t="n">
        <x:v>3000</x:v>
      </x:c>
      <x:c r="K23" s="62" t="n">
        <x:v>0.49</x:v>
      </x:c>
      <x:c r="L23" s="62" t="n">
        <x:v>0.29</x:v>
      </x:c>
      <x:c r="M23" s="54" t="n">
        <x:v>20</x:v>
      </x:c>
      <x:c r="N23" s="54" t="n">
        <x:v>63</x:v>
      </x:c>
      <x:c r="O23" s="46" t="str">
        <x:v>Serbest tabaka / panel üzeri kaplama</x:v>
      </x:c>
      <x:c r="P23" s="46" t="str">
        <x:v>Malzeme E' ve η frekans tablosu</x:v>
      </x:c>
      <x:c r="Q23" s="46" t="str">
        <x:v>YÜKSEK</x:v>
      </x:c>
      <x:c r="R23" s="46" t="str">
        <x:v>https://www.pyroteknc.com/assets/documents/DECIDAMP-SP150-TDS-113IP-1-v5.pdf</x:v>
      </x:c>
      <x:c r="S23" s="50" t="str">
        <x:v>1 mm kuru film için m'≈1.6 kg/m². E' ve η üretici grafiği/tablosu; sıcaklık ve kür koşulu doğrulanmalıdır.</x:v>
      </x:c>
    </x:row>
    <x:row r="24">
      <x:c r="A24" s="46" t="str">
        <x:v>SP150-MAT-125</x:v>
      </x:c>
      <x:c r="B24" s="46" t="str">
        <x:v>Damping</x:v>
      </x:c>
      <x:c r="C24" s="46" t="str">
        <x:v>Püskürtme viskoelastik sönümleyici</x:v>
      </x:c>
      <x:c r="D24" s="46" t="str">
        <x:v>Pyrotek</x:v>
      </x:c>
      <x:c r="E24" s="46" t="str">
        <x:v>Decidamp SP150</x:v>
      </x:c>
      <x:c r="F24" s="70" t="str">
        <x:v>MANUFACTURER_FREQUENCY_DATA</x:v>
      </x:c>
      <x:c r="G24" s="62" t="n">
        <x:v>1</x:v>
      </x:c>
      <x:c r="H24" s="62" t="n">
        <x:v>1.6</x:v>
      </x:c>
      <x:c r="I24" s="54" t="n">
        <x:v>1600</x:v>
      </x:c>
      <x:c r="J24" s="62" t="n">
        <x:v>3000</x:v>
      </x:c>
      <x:c r="K24" s="62" t="n">
        <x:v>0.49</x:v>
      </x:c>
      <x:c r="L24" s="62" t="n">
        <x:v>0.32</x:v>
      </x:c>
      <x:c r="M24" s="54" t="n">
        <x:v>20</x:v>
      </x:c>
      <x:c r="N24" s="54" t="n">
        <x:v>125</x:v>
      </x:c>
      <x:c r="O24" s="46" t="str">
        <x:v>Serbest tabaka / panel üzeri kaplama</x:v>
      </x:c>
      <x:c r="P24" s="46" t="str">
        <x:v>Malzeme E' ve η frekans tablosu</x:v>
      </x:c>
      <x:c r="Q24" s="46" t="str">
        <x:v>YÜKSEK</x:v>
      </x:c>
      <x:c r="R24" s="46" t="str">
        <x:v>https://www.pyroteknc.com/assets/documents/DECIDAMP-SP150-TDS-113IP-1-v5.pdf</x:v>
      </x:c>
      <x:c r="S24" s="50" t="str">
        <x:v>1 mm kuru film için m'≈1.6 kg/m². E' ve η üretici grafiği/tablosu; sıcaklık ve kür koşulu doğrulanmalıdır.</x:v>
      </x:c>
    </x:row>
    <x:row r="25">
      <x:c r="A25" s="46" t="str">
        <x:v>SP150-MAT-250</x:v>
      </x:c>
      <x:c r="B25" s="46" t="str">
        <x:v>Damping</x:v>
      </x:c>
      <x:c r="C25" s="46" t="str">
        <x:v>Püskürtme viskoelastik sönümleyici</x:v>
      </x:c>
      <x:c r="D25" s="46" t="str">
        <x:v>Pyrotek</x:v>
      </x:c>
      <x:c r="E25" s="46" t="str">
        <x:v>Decidamp SP150</x:v>
      </x:c>
      <x:c r="F25" s="70" t="str">
        <x:v>MANUFACTURER_FREQUENCY_DATA</x:v>
      </x:c>
      <x:c r="G25" s="62" t="n">
        <x:v>1</x:v>
      </x:c>
      <x:c r="H25" s="62" t="n">
        <x:v>1.6</x:v>
      </x:c>
      <x:c r="I25" s="54" t="n">
        <x:v>1600</x:v>
      </x:c>
      <x:c r="J25" s="62" t="n">
        <x:v>3000</x:v>
      </x:c>
      <x:c r="K25" s="62" t="n">
        <x:v>0.49</x:v>
      </x:c>
      <x:c r="L25" s="62" t="n">
        <x:v>0.33</x:v>
      </x:c>
      <x:c r="M25" s="54" t="n">
        <x:v>20</x:v>
      </x:c>
      <x:c r="N25" s="54" t="n">
        <x:v>250</x:v>
      </x:c>
      <x:c r="O25" s="46" t="str">
        <x:v>Serbest tabaka / panel üzeri kaplama</x:v>
      </x:c>
      <x:c r="P25" s="46" t="str">
        <x:v>Malzeme E' ve η frekans tablosu</x:v>
      </x:c>
      <x:c r="Q25" s="46" t="str">
        <x:v>YÜKSEK</x:v>
      </x:c>
      <x:c r="R25" s="46" t="str">
        <x:v>https://www.pyroteknc.com/assets/documents/DECIDAMP-SP150-TDS-113IP-1-v5.pdf</x:v>
      </x:c>
      <x:c r="S25" s="50" t="str">
        <x:v>1 mm kuru film için m'≈1.6 kg/m². E' ve η üretici grafiği/tablosu; sıcaklık ve kür koşulu doğrulanmalıdır.</x:v>
      </x:c>
    </x:row>
    <x:row r="26">
      <x:c r="A26" s="46" t="str">
        <x:v>SP150-MAT-500</x:v>
      </x:c>
      <x:c r="B26" s="46" t="str">
        <x:v>Damping</x:v>
      </x:c>
      <x:c r="C26" s="46" t="str">
        <x:v>Püskürtme viskoelastik sönümleyici</x:v>
      </x:c>
      <x:c r="D26" s="46" t="str">
        <x:v>Pyrotek</x:v>
      </x:c>
      <x:c r="E26" s="46" t="str">
        <x:v>Decidamp SP150</x:v>
      </x:c>
      <x:c r="F26" s="70" t="str">
        <x:v>MANUFACTURER_FREQUENCY_DATA</x:v>
      </x:c>
      <x:c r="G26" s="62" t="n">
        <x:v>1</x:v>
      </x:c>
      <x:c r="H26" s="62" t="n">
        <x:v>1.6</x:v>
      </x:c>
      <x:c r="I26" s="54" t="n">
        <x:v>1600</x:v>
      </x:c>
      <x:c r="J26" s="62" t="n">
        <x:v>3300</x:v>
      </x:c>
      <x:c r="K26" s="62" t="n">
        <x:v>0.49</x:v>
      </x:c>
      <x:c r="L26" s="62" t="n">
        <x:v>0.29</x:v>
      </x:c>
      <x:c r="M26" s="54" t="n">
        <x:v>20</x:v>
      </x:c>
      <x:c r="N26" s="54" t="n">
        <x:v>500</x:v>
      </x:c>
      <x:c r="O26" s="46" t="str">
        <x:v>Serbest tabaka / panel üzeri kaplama</x:v>
      </x:c>
      <x:c r="P26" s="46" t="str">
        <x:v>Malzeme E' ve η frekans tablosu</x:v>
      </x:c>
      <x:c r="Q26" s="46" t="str">
        <x:v>YÜKSEK</x:v>
      </x:c>
      <x:c r="R26" s="46" t="str">
        <x:v>https://www.pyroteknc.com/assets/documents/DECIDAMP-SP150-TDS-113IP-1-v5.pdf</x:v>
      </x:c>
      <x:c r="S26" s="50" t="str">
        <x:v>1 mm kuru film için m'≈1.6 kg/m². E' ve η üretici grafiği/tablosu; sıcaklık ve kür koşulu doğrulanmalıdır.</x:v>
      </x:c>
    </x:row>
    <x:row r="27">
      <x:c r="A27" s="46" t="str">
        <x:v>SP150-MAT-1000</x:v>
      </x:c>
      <x:c r="B27" s="46" t="str">
        <x:v>Damping</x:v>
      </x:c>
      <x:c r="C27" s="46" t="str">
        <x:v>Püskürtme viskoelastik sönümleyici</x:v>
      </x:c>
      <x:c r="D27" s="46" t="str">
        <x:v>Pyrotek</x:v>
      </x:c>
      <x:c r="E27" s="46" t="str">
        <x:v>Decidamp SP150</x:v>
      </x:c>
      <x:c r="F27" s="70" t="str">
        <x:v>MANUFACTURER_FREQUENCY_DATA</x:v>
      </x:c>
      <x:c r="G27" s="62" t="n">
        <x:v>1</x:v>
      </x:c>
      <x:c r="H27" s="62" t="n">
        <x:v>1.6</x:v>
      </x:c>
      <x:c r="I27" s="54" t="n">
        <x:v>1600</x:v>
      </x:c>
      <x:c r="J27" s="62" t="n">
        <x:v>3700</x:v>
      </x:c>
      <x:c r="K27" s="62" t="n">
        <x:v>0.49</x:v>
      </x:c>
      <x:c r="L27" s="62" t="n">
        <x:v>0.25</x:v>
      </x:c>
      <x:c r="M27" s="54" t="n">
        <x:v>20</x:v>
      </x:c>
      <x:c r="N27" s="54" t="n">
        <x:v>1000</x:v>
      </x:c>
      <x:c r="O27" s="46" t="str">
        <x:v>Serbest tabaka / panel üzeri kaplama</x:v>
      </x:c>
      <x:c r="P27" s="46" t="str">
        <x:v>Malzeme E' ve η frekans tablosu</x:v>
      </x:c>
      <x:c r="Q27" s="46" t="str">
        <x:v>YÜKSEK</x:v>
      </x:c>
      <x:c r="R27" s="46" t="str">
        <x:v>https://www.pyroteknc.com/assets/documents/DECIDAMP-SP150-TDS-113IP-1-v5.pdf</x:v>
      </x:c>
      <x:c r="S27" s="50" t="str">
        <x:v>1 mm kuru film için m'≈1.6 kg/m². E' ve η üretici grafiği/tablosu; sıcaklık ve kür koşulu doğrulanmalıdır.</x:v>
      </x:c>
    </x:row>
    <x:row r="28">
      <x:c r="A28" s="46" t="str">
        <x:v>SP150-MAT-2000</x:v>
      </x:c>
      <x:c r="B28" s="46" t="str">
        <x:v>Damping</x:v>
      </x:c>
      <x:c r="C28" s="46" t="str">
        <x:v>Püskürtme viskoelastik sönümleyici</x:v>
      </x:c>
      <x:c r="D28" s="46" t="str">
        <x:v>Pyrotek</x:v>
      </x:c>
      <x:c r="E28" s="46" t="str">
        <x:v>Decidamp SP150</x:v>
      </x:c>
      <x:c r="F28" s="70" t="str">
        <x:v>MANUFACTURER_FREQUENCY_DATA</x:v>
      </x:c>
      <x:c r="G28" s="62" t="n">
        <x:v>1</x:v>
      </x:c>
      <x:c r="H28" s="62" t="n">
        <x:v>1.6</x:v>
      </x:c>
      <x:c r="I28" s="54" t="n">
        <x:v>1600</x:v>
      </x:c>
      <x:c r="J28" s="62" t="n">
        <x:v>4500</x:v>
      </x:c>
      <x:c r="K28" s="62" t="n">
        <x:v>0.49</x:v>
      </x:c>
      <x:c r="L28" s="62" t="n">
        <x:v>0.19</x:v>
      </x:c>
      <x:c r="M28" s="54" t="n">
        <x:v>20</x:v>
      </x:c>
      <x:c r="N28" s="54" t="n">
        <x:v>2000</x:v>
      </x:c>
      <x:c r="O28" s="46" t="str">
        <x:v>Serbest tabaka / panel üzeri kaplama</x:v>
      </x:c>
      <x:c r="P28" s="46" t="str">
        <x:v>Malzeme E' ve η frekans tablosu</x:v>
      </x:c>
      <x:c r="Q28" s="46" t="str">
        <x:v>YÜKSEK</x:v>
      </x:c>
      <x:c r="R28" s="46" t="str">
        <x:v>https://www.pyroteknc.com/assets/documents/DECIDAMP-SP150-TDS-113IP-1-v5.pdf</x:v>
      </x:c>
      <x:c r="S28" s="50" t="str">
        <x:v>1 mm kuru film için m'≈1.6 kg/m². E' ve η üretici grafiği/tablosu; sıcaklık ve kür koşulu doğrulanmalıdır.</x:v>
      </x:c>
    </x:row>
    <x:row r="29">
      <x:c r="A29" s="46" t="str">
        <x:v>SP150-MAT-4000</x:v>
      </x:c>
      <x:c r="B29" s="46" t="str">
        <x:v>Damping</x:v>
      </x:c>
      <x:c r="C29" s="46" t="str">
        <x:v>Püskürtme viskoelastik sönümleyici</x:v>
      </x:c>
      <x:c r="D29" s="46" t="str">
        <x:v>Pyrotek</x:v>
      </x:c>
      <x:c r="E29" s="46" t="str">
        <x:v>Decidamp SP150</x:v>
      </x:c>
      <x:c r="F29" s="70" t="str">
        <x:v>MANUFACTURER_FREQUENCY_DATA</x:v>
      </x:c>
      <x:c r="G29" s="62" t="n">
        <x:v>1</x:v>
      </x:c>
      <x:c r="H29" s="62" t="n">
        <x:v>1.6</x:v>
      </x:c>
      <x:c r="I29" s="54" t="n">
        <x:v>1600</x:v>
      </x:c>
      <x:c r="J29" s="62" t="n">
        <x:v>6000</x:v>
      </x:c>
      <x:c r="K29" s="62" t="n">
        <x:v>0.49</x:v>
      </x:c>
      <x:c r="L29" s="62" t="n">
        <x:v>0.14</x:v>
      </x:c>
      <x:c r="M29" s="54" t="n">
        <x:v>20</x:v>
      </x:c>
      <x:c r="N29" s="54" t="n">
        <x:v>4000</x:v>
      </x:c>
      <x:c r="O29" s="46" t="str">
        <x:v>Serbest tabaka / panel üzeri kaplama</x:v>
      </x:c>
      <x:c r="P29" s="46" t="str">
        <x:v>Malzeme E' ve η frekans tablosu</x:v>
      </x:c>
      <x:c r="Q29" s="46" t="str">
        <x:v>YÜKSEK</x:v>
      </x:c>
      <x:c r="R29" s="46" t="str">
        <x:v>https://www.pyroteknc.com/assets/documents/DECIDAMP-SP150-TDS-113IP-1-v5.pdf</x:v>
      </x:c>
      <x:c r="S29" s="50" t="str">
        <x:v>1 mm kuru film için m'≈1.6 kg/m². E' ve η üretici grafiği/tablosu; sıcaklık ve kür koşulu doğrulanmalıdır.</x:v>
      </x:c>
    </x:row>
    <x:row r="30">
      <x:c r="A30" s="46" t="str">
        <x:v>SP150-MAT-8000</x:v>
      </x:c>
      <x:c r="B30" s="46" t="str">
        <x:v>Damping</x:v>
      </x:c>
      <x:c r="C30" s="46" t="str">
        <x:v>Püskürtme viskoelastik sönümleyici</x:v>
      </x:c>
      <x:c r="D30" s="46" t="str">
        <x:v>Pyrotek</x:v>
      </x:c>
      <x:c r="E30" s="46" t="str">
        <x:v>Decidamp SP150</x:v>
      </x:c>
      <x:c r="F30" s="70" t="str">
        <x:v>MANUFACTURER_FREQUENCY_DATA</x:v>
      </x:c>
      <x:c r="G30" s="62" t="n">
        <x:v>1</x:v>
      </x:c>
      <x:c r="H30" s="62" t="n">
        <x:v>1.6</x:v>
      </x:c>
      <x:c r="I30" s="54" t="n">
        <x:v>1600</x:v>
      </x:c>
      <x:c r="J30" s="62" t="n">
        <x:v>7000</x:v>
      </x:c>
      <x:c r="K30" s="62" t="n">
        <x:v>0.49</x:v>
      </x:c>
      <x:c r="L30" s="62" t="n">
        <x:v>0.09</x:v>
      </x:c>
      <x:c r="M30" s="54" t="n">
        <x:v>20</x:v>
      </x:c>
      <x:c r="N30" s="54" t="n">
        <x:v>8000</x:v>
      </x:c>
      <x:c r="O30" s="46" t="str">
        <x:v>Serbest tabaka / panel üzeri kaplama</x:v>
      </x:c>
      <x:c r="P30" s="46" t="str">
        <x:v>Malzeme E' ve η frekans tablosu</x:v>
      </x:c>
      <x:c r="Q30" s="46" t="str">
        <x:v>YÜKSEK</x:v>
      </x:c>
      <x:c r="R30" s="46" t="str">
        <x:v>https://www.pyroteknc.com/assets/documents/DECIDAMP-SP150-TDS-113IP-1-v5.pdf</x:v>
      </x:c>
      <x:c r="S30" s="50" t="str">
        <x:v>1 mm kuru film için m'≈1.6 kg/m². E' ve η üretici grafiği/tablosu; sıcaklık ve kür koşulu doğrulanmalıdır.</x:v>
      </x:c>
    </x:row>
    <x:row r="31">
      <x:c r="A31" s="46" t="str">
        <x:v>SP150-SYS-AL6-SP3</x:v>
      </x:c>
      <x:c r="B31" s="46" t="str">
        <x:v>Damping</x:v>
      </x:c>
      <x:c r="C31" s="46" t="str">
        <x:v>Panel damping sistemi</x:v>
      </x:c>
      <x:c r="D31" s="46" t="str">
        <x:v>Pyrotek</x:v>
      </x:c>
      <x:c r="E31" s="46" t="str">
        <x:v>6 mm Al + 3 mm SP150</x:v>
      </x:c>
      <x:c r="F31" s="70" t="str">
        <x:v>MANUFACTURER_SYSTEM_DATA</x:v>
      </x:c>
      <x:c r="G31" s="62" t="n">
        <x:v>3</x:v>
      </x:c>
      <x:c r="H31" s="62" t="n">
        <x:v>5</x:v>
      </x:c>
      <x:c r="I31" s="54"/>
      <x:c r="J31" s="62"/>
      <x:c r="K31" s="62"/>
      <x:c r="L31" s="62" t="n">
        <x:v>0.043</x:v>
      </x:c>
      <x:c r="M31" s="54" t="n">
        <x:v>20</x:v>
      </x:c>
      <x:c r="N31" s="54"/>
      <x:c r="O31" s="46" t="str">
        <x:v>6 mm Al + 3 mm SP150</x:v>
      </x:c>
      <x:c r="P31" s="46" t="str">
        <x:v>Ortalama sistem kayıp faktörü ≈ 0.043</x:v>
      </x:c>
      <x:c r="Q31" s="46" t="str">
        <x:v>YÜKSEK</x:v>
      </x:c>
      <x:c r="R31" s="46" t="str">
        <x:v>https://www.pyroteknc.com/assets/documents/DECIDAMP-SP150-TDS-113IP-1-v5.pdf</x:v>
      </x:c>
      <x:c r="S31" s="50" t="str">
        <x:v>Bu η malzeme kayıp faktörü değil, belirtilen panel+treatment sisteminin ortalama kayıp faktörüdür.</x:v>
      </x:c>
    </x:row>
    <x:row r="32">
      <x:c r="A32" s="46" t="str">
        <x:v>SP150-SYS-AL8-SP4</x:v>
      </x:c>
      <x:c r="B32" s="46" t="str">
        <x:v>Damping</x:v>
      </x:c>
      <x:c r="C32" s="46" t="str">
        <x:v>Panel damping sistemi</x:v>
      </x:c>
      <x:c r="D32" s="46" t="str">
        <x:v>Pyrotek</x:v>
      </x:c>
      <x:c r="E32" s="46" t="str">
        <x:v>8 mm Al + 4 mm SP150</x:v>
      </x:c>
      <x:c r="F32" s="70" t="str">
        <x:v>MANUFACTURER_SYSTEM_DATA</x:v>
      </x:c>
      <x:c r="G32" s="62" t="n">
        <x:v>4</x:v>
      </x:c>
      <x:c r="H32" s="62" t="n">
        <x:v>7</x:v>
      </x:c>
      <x:c r="I32" s="54"/>
      <x:c r="J32" s="62"/>
      <x:c r="K32" s="62"/>
      <x:c r="L32" s="62" t="n">
        <x:v>0.04</x:v>
      </x:c>
      <x:c r="M32" s="54" t="n">
        <x:v>20</x:v>
      </x:c>
      <x:c r="N32" s="54"/>
      <x:c r="O32" s="46" t="str">
        <x:v>8 mm Al + 4 mm SP150</x:v>
      </x:c>
      <x:c r="P32" s="46" t="str">
        <x:v>Ortalama sistem kayıp faktörü ≈ 0.04</x:v>
      </x:c>
      <x:c r="Q32" s="46" t="str">
        <x:v>YÜKSEK</x:v>
      </x:c>
      <x:c r="R32" s="46" t="str">
        <x:v>https://www.pyroteknc.com/assets/documents/DECIDAMP-SP150-TDS-113IP-1-v5.pdf</x:v>
      </x:c>
      <x:c r="S32" s="50" t="str">
        <x:v>Bu η malzeme kayıp faktörü değil, belirtilen panel+treatment sisteminin ortalama kayıp faktörüdür.</x:v>
      </x:c>
    </x:row>
    <x:row r="33">
      <x:c r="A33" s="46" t="str">
        <x:v>SP150-SYS-ST5-SP2p5</x:v>
      </x:c>
      <x:c r="B33" s="46" t="str">
        <x:v>Damping</x:v>
      </x:c>
      <x:c r="C33" s="46" t="str">
        <x:v>Panel damping sistemi</x:v>
      </x:c>
      <x:c r="D33" s="46" t="str">
        <x:v>Pyrotek</x:v>
      </x:c>
      <x:c r="E33" s="46" t="str">
        <x:v>5 mm çelik + 2.5 mm SP150</x:v>
      </x:c>
      <x:c r="F33" s="70" t="str">
        <x:v>MANUFACTURER_SYSTEM_DATA</x:v>
      </x:c>
      <x:c r="G33" s="62" t="n">
        <x:v>2.5</x:v>
      </x:c>
      <x:c r="H33" s="62" t="n">
        <x:v>3.7</x:v>
      </x:c>
      <x:c r="I33" s="54"/>
      <x:c r="J33" s="62"/>
      <x:c r="K33" s="62"/>
      <x:c r="L33" s="62" t="n">
        <x:v>0.02</x:v>
      </x:c>
      <x:c r="M33" s="54" t="n">
        <x:v>20</x:v>
      </x:c>
      <x:c r="N33" s="54"/>
      <x:c r="O33" s="46" t="str">
        <x:v>5 mm çelik + 2.5 mm SP150</x:v>
      </x:c>
      <x:c r="P33" s="46" t="str">
        <x:v>Ortalama sistem kayıp faktörü ≈ 0.02</x:v>
      </x:c>
      <x:c r="Q33" s="46" t="str">
        <x:v>YÜKSEK</x:v>
      </x:c>
      <x:c r="R33" s="46" t="str">
        <x:v>https://www.pyroteknc.com/assets/documents/DECIDAMP-SP150-TDS-113IP-1-v5.pdf</x:v>
      </x:c>
      <x:c r="S33" s="50" t="str">
        <x:v>Bu η malzeme kayıp faktörü değil, belirtilen panel+treatment sisteminin ortalama kayıp faktörüdür.</x:v>
      </x:c>
    </x:row>
    <x:row r="34">
      <x:c r="A34" s="46" t="str">
        <x:v>SP150-SYS-ST5-SP5</x:v>
      </x:c>
      <x:c r="B34" s="46" t="str">
        <x:v>Damping</x:v>
      </x:c>
      <x:c r="C34" s="46" t="str">
        <x:v>Panel damping sistemi</x:v>
      </x:c>
      <x:c r="D34" s="46" t="str">
        <x:v>Pyrotek</x:v>
      </x:c>
      <x:c r="E34" s="46" t="str">
        <x:v>5 mm çelik + 5 mm SP150</x:v>
      </x:c>
      <x:c r="F34" s="70" t="str">
        <x:v>MANUFACTURER_SYSTEM_DATA</x:v>
      </x:c>
      <x:c r="G34" s="62" t="n">
        <x:v>5</x:v>
      </x:c>
      <x:c r="H34" s="62" t="n">
        <x:v>7.7</x:v>
      </x:c>
      <x:c r="I34" s="54"/>
      <x:c r="J34" s="62"/>
      <x:c r="K34" s="62"/>
      <x:c r="L34" s="62" t="n">
        <x:v>0.051</x:v>
      </x:c>
      <x:c r="M34" s="54" t="n">
        <x:v>20</x:v>
      </x:c>
      <x:c r="N34" s="54"/>
      <x:c r="O34" s="46" t="str">
        <x:v>5 mm çelik + 5 mm SP150</x:v>
      </x:c>
      <x:c r="P34" s="46" t="str">
        <x:v>Ortalama sistem kayıp faktörü ≈ 0.051</x:v>
      </x:c>
      <x:c r="Q34" s="46" t="str">
        <x:v>YÜKSEK</x:v>
      </x:c>
      <x:c r="R34" s="46" t="str">
        <x:v>https://www.pyroteknc.com/assets/documents/DECIDAMP-SP150-TDS-113IP-1-v5.pdf</x:v>
      </x:c>
      <x:c r="S34" s="50" t="str">
        <x:v>Bu η malzeme kayıp faktörü değil, belirtilen panel+treatment sisteminin ortalama kayıp faktörüdür.</x:v>
      </x:c>
    </x:row>
    <x:row r="35">
      <x:c r="A35" s="46" t="str">
        <x:v>3M-112P02</x:v>
      </x:c>
      <x:c r="B35" s="46" t="str">
        <x:v>Damping</x:v>
      </x:c>
      <x:c r="C35" s="46" t="str">
        <x:v>Akrilik viskoelastik damping filmi</x:v>
      </x:c>
      <x:c r="D35" s="46" t="str">
        <x:v>3M</x:v>
      </x:c>
      <x:c r="E35" s="46" t="str">
        <x:v>112P02</x:v>
      </x:c>
      <x:c r="F35" s="70" t="str">
        <x:v>MANUFACTURER_PARTIAL</x:v>
      </x:c>
      <x:c r="G35" s="62" t="n">
        <x:v>0.0508</x:v>
      </x:c>
      <x:c r="H35" s="62" t="n">
        <x:v>0.04826</x:v>
      </x:c>
      <x:c r="I35" s="54" t="n">
        <x:v>950</x:v>
      </x:c>
      <x:c r="J35" s="62"/>
      <x:c r="K35" s="62" t="n">
        <x:v>0.49</x:v>
      </x:c>
      <x:c r="L35" s="62"/>
      <x:c r="M35" s="54"/>
      <x:c r="N35" s="54"/>
      <x:c r="O35" s="46" t="str">
        <x:v>Constrained-layer damping; rijit yüzeyler arasında</x:v>
      </x:c>
      <x:c r="P35" s="46" t="str">
        <x:v>Kayıp faktörü ve modül nomogramdan sıcaklık/frekansla seçilir.</x:v>
      </x:c>
      <x:c r="Q35" s="46" t="str">
        <x:v>YÜKSEK (d,ρ) / DEĞİŞKEN (E,η)</x:v>
      </x:c>
      <x:c r="R35" s="46" t="str">
        <x:v>https://multimedia.3m.com/mws/media/828134O/3m-viscoelastic-damping-polymer-112-series.pdf</x:v>
      </x:c>
      <x:c r="S35" s="50" t="str">
        <x:v>Tek sabit E/η kullanmayın; reduced-frequency/nomogram yaklaşımı gerekir.</x:v>
      </x:c>
    </x:row>
    <x:row r="36">
      <x:c r="A36" s="46" t="str">
        <x:v>3M-112P05</x:v>
      </x:c>
      <x:c r="B36" s="46" t="str">
        <x:v>Damping</x:v>
      </x:c>
      <x:c r="C36" s="46" t="str">
        <x:v>Akrilik viskoelastik damping filmi</x:v>
      </x:c>
      <x:c r="D36" s="46" t="str">
        <x:v>3M</x:v>
      </x:c>
      <x:c r="E36" s="46" t="str">
        <x:v>112P05</x:v>
      </x:c>
      <x:c r="F36" s="70" t="str">
        <x:v>MANUFACTURER_PARTIAL</x:v>
      </x:c>
      <x:c r="G36" s="62" t="n">
        <x:v>0.127</x:v>
      </x:c>
      <x:c r="H36" s="62" t="n">
        <x:v>0.12065</x:v>
      </x:c>
      <x:c r="I36" s="54" t="n">
        <x:v>950</x:v>
      </x:c>
      <x:c r="J36" s="62"/>
      <x:c r="K36" s="62" t="n">
        <x:v>0.49</x:v>
      </x:c>
      <x:c r="L36" s="62"/>
      <x:c r="M36" s="54"/>
      <x:c r="N36" s="54"/>
      <x:c r="O36" s="46" t="str">
        <x:v>Constrained-layer damping; rijit yüzeyler arasında</x:v>
      </x:c>
      <x:c r="P36" s="46" t="str">
        <x:v>Kayıp faktörü ve modül nomogramdan sıcaklık/frekansla seçilir.</x:v>
      </x:c>
      <x:c r="Q36" s="46" t="str">
        <x:v>YÜKSEK (d,ρ) / DEĞİŞKEN (E,η)</x:v>
      </x:c>
      <x:c r="R36" s="46" t="str">
        <x:v>https://multimedia.3m.com/mws/media/828134O/3m-viscoelastic-damping-polymer-112-series.pdf</x:v>
      </x:c>
      <x:c r="S36" s="50" t="str">
        <x:v>Tek sabit E/η kullanmayın; reduced-frequency/nomogram yaklaşımı gerekir.</x:v>
      </x:c>
    </x:row>
    <x:row r="37">
      <x:c r="A37" s="46" t="str">
        <x:v>DAMP-ACRYLIC-FILM</x:v>
      </x:c>
      <x:c r="B37" s="46" t="str">
        <x:v>Damping</x:v>
      </x:c>
      <x:c r="C37" s="46" t="str">
        <x:v>Akrilik viskoelastik film</x:v>
      </x:c>
      <x:c r="D37" s="46" t="str">
        <x:v>GENERIC</x:v>
      </x:c>
      <x:c r="E37" s="46" t="str">
        <x:v>ACRYLIC-FILM</x:v>
      </x:c>
      <x:c r="F37" s="70" t="str">
        <x:v>ENGINEERING_DEFAULT</x:v>
      </x:c>
      <x:c r="G37" s="62" t="n">
        <x:v>0.5</x:v>
      </x:c>
      <x:c r="H37" s="62" t="n">
        <x:v>0.525</x:v>
      </x:c>
      <x:c r="I37" s="54" t="n">
        <x:v>1050</x:v>
      </x:c>
      <x:c r="J37" s="62" t="n">
        <x:v>2</x:v>
      </x:c>
      <x:c r="K37" s="62" t="n">
        <x:v>0.49</x:v>
      </x:c>
      <x:c r="L37" s="62" t="n">
        <x:v>0.25</x:v>
      </x:c>
      <x:c r="M37" s="54" t="n">
        <x:v>20</x:v>
      </x:c>
      <x:c r="N37" s="54" t="n">
        <x:v>500</x:v>
      </x:c>
      <x:c r="O37" s="46" t="str">
        <x:v>Serbest veya constrained-layer</x:v>
      </x:c>
      <x:c r="P37" s="46" t="str"/>
      <x:c r="Q37" s="46" t="str">
        <x:v>DÜŞÜK</x:v>
      </x:c>
      <x:c r="R37" s="46" t="str"/>
      <x:c r="S37" s="50" t="str">
        <x:v>E' ve η yalnız temsili başlangıç değeridir; DMA ile frekans/sıcaklık bağımlı master-curve gerekir.</x:v>
      </x:c>
    </x:row>
    <x:row r="38">
      <x:c r="A38" s="46" t="str">
        <x:v>DAMP-BUTYL</x:v>
      </x:c>
      <x:c r="B38" s="46" t="str">
        <x:v>Damping</x:v>
      </x:c>
      <x:c r="C38" s="46" t="str">
        <x:v>Butil kauçuk mastik/tabaka</x:v>
      </x:c>
      <x:c r="D38" s="46" t="str">
        <x:v>GENERIC</x:v>
      </x:c>
      <x:c r="E38" s="46" t="str">
        <x:v>BUTYL</x:v>
      </x:c>
      <x:c r="F38" s="70" t="str">
        <x:v>ENGINEERING_DEFAULT</x:v>
      </x:c>
      <x:c r="G38" s="62" t="n">
        <x:v>2</x:v>
      </x:c>
      <x:c r="H38" s="62" t="n">
        <x:v>2.4</x:v>
      </x:c>
      <x:c r="I38" s="54" t="n">
        <x:v>1200</x:v>
      </x:c>
      <x:c r="J38" s="62" t="n">
        <x:v>1</x:v>
      </x:c>
      <x:c r="K38" s="62" t="n">
        <x:v>0.49</x:v>
      </x:c>
      <x:c r="L38" s="62" t="n">
        <x:v>0.2</x:v>
      </x:c>
      <x:c r="M38" s="54" t="n">
        <x:v>20</x:v>
      </x:c>
      <x:c r="N38" s="54" t="n">
        <x:v>500</x:v>
      </x:c>
      <x:c r="O38" s="46" t="str">
        <x:v>Serbest veya constrained-layer</x:v>
      </x:c>
      <x:c r="P38" s="46" t="str"/>
      <x:c r="Q38" s="46" t="str">
        <x:v>DÜŞÜK</x:v>
      </x:c>
      <x:c r="R38" s="46" t="str"/>
      <x:c r="S38" s="50" t="str">
        <x:v>E' ve η yalnız temsili başlangıç değeridir; DMA ile frekans/sıcaklık bağımlı master-curve gerekir.</x:v>
      </x:c>
    </x:row>
    <x:row r="39">
      <x:c r="A39" s="46" t="str">
        <x:v>DAMP-EPDM</x:v>
      </x:c>
      <x:c r="B39" s="46" t="str">
        <x:v>Damping</x:v>
      </x:c>
      <x:c r="C39" s="46" t="str">
        <x:v>EPDM tabaka</x:v>
      </x:c>
      <x:c r="D39" s="46" t="str">
        <x:v>GENERIC</x:v>
      </x:c>
      <x:c r="E39" s="46" t="str">
        <x:v>EPDM</x:v>
      </x:c>
      <x:c r="F39" s="70" t="str">
        <x:v>ENGINEERING_DEFAULT</x:v>
      </x:c>
      <x:c r="G39" s="62" t="n">
        <x:v>3</x:v>
      </x:c>
      <x:c r="H39" s="62" t="n">
        <x:v>3.45</x:v>
      </x:c>
      <x:c r="I39" s="54" t="n">
        <x:v>1150</x:v>
      </x:c>
      <x:c r="J39" s="62" t="n">
        <x:v>5</x:v>
      </x:c>
      <x:c r="K39" s="62" t="n">
        <x:v>0.49</x:v>
      </x:c>
      <x:c r="L39" s="62" t="n">
        <x:v>0.12</x:v>
      </x:c>
      <x:c r="M39" s="54" t="n">
        <x:v>20</x:v>
      </x:c>
      <x:c r="N39" s="54" t="n">
        <x:v>500</x:v>
      </x:c>
      <x:c r="O39" s="46" t="str">
        <x:v>Serbest veya constrained-layer</x:v>
      </x:c>
      <x:c r="P39" s="46" t="str"/>
      <x:c r="Q39" s="46" t="str">
        <x:v>DÜŞÜK</x:v>
      </x:c>
      <x:c r="R39" s="46" t="str"/>
      <x:c r="S39" s="50" t="str">
        <x:v>E' ve η yalnız temsili başlangıç değeridir; DMA ile frekans/sıcaklık bağımlı master-curve gerekir.</x:v>
      </x:c>
    </x:row>
    <x:row r="40">
      <x:c r="A40" s="46" t="str">
        <x:v>DAMP-PU-CLD</x:v>
      </x:c>
      <x:c r="B40" s="46" t="str">
        <x:v>Damping</x:v>
      </x:c>
      <x:c r="C40" s="46" t="str">
        <x:v>PU viskoelastik CLD katmanı</x:v>
      </x:c>
      <x:c r="D40" s="46" t="str">
        <x:v>GENERIC</x:v>
      </x:c>
      <x:c r="E40" s="46" t="str">
        <x:v>PU-CLD</x:v>
      </x:c>
      <x:c r="F40" s="70" t="str">
        <x:v>ENGINEERING_DEFAULT</x:v>
      </x:c>
      <x:c r="G40" s="62" t="n">
        <x:v>1</x:v>
      </x:c>
      <x:c r="H40" s="62" t="n">
        <x:v>1.1</x:v>
      </x:c>
      <x:c r="I40" s="54" t="n">
        <x:v>1100</x:v>
      </x:c>
      <x:c r="J40" s="62" t="n">
        <x:v>3</x:v>
      </x:c>
      <x:c r="K40" s="62" t="n">
        <x:v>0.49</x:v>
      </x:c>
      <x:c r="L40" s="62" t="n">
        <x:v>0.25</x:v>
      </x:c>
      <x:c r="M40" s="54" t="n">
        <x:v>20</x:v>
      </x:c>
      <x:c r="N40" s="54" t="n">
        <x:v>500</x:v>
      </x:c>
      <x:c r="O40" s="46" t="str">
        <x:v>Serbest veya constrained-layer</x:v>
      </x:c>
      <x:c r="P40" s="46" t="str"/>
      <x:c r="Q40" s="46" t="str">
        <x:v>DÜŞÜK</x:v>
      </x:c>
      <x:c r="R40" s="46" t="str"/>
      <x:c r="S40" s="50" t="str">
        <x:v>E' ve η yalnız temsili başlangıç değeridir; DMA ile frekans/sıcaklık bağımlı master-curve gerekir.</x:v>
      </x:c>
    </x:row>
    <x:row r="41">
      <x:c r="A41" s="46" t="str">
        <x:v>DAMP-SBR</x:v>
      </x:c>
      <x:c r="B41" s="46" t="str">
        <x:v>Damping</x:v>
      </x:c>
      <x:c r="C41" s="46" t="str">
        <x:v>SBR kauçuk</x:v>
      </x:c>
      <x:c r="D41" s="46" t="str">
        <x:v>GENERIC</x:v>
      </x:c>
      <x:c r="E41" s="46" t="str">
        <x:v>SBR</x:v>
      </x:c>
      <x:c r="F41" s="70" t="str">
        <x:v>ENGINEERING_DEFAULT</x:v>
      </x:c>
      <x:c r="G41" s="62" t="n">
        <x:v>5</x:v>
      </x:c>
      <x:c r="H41" s="62" t="n">
        <x:v>5.5</x:v>
      </x:c>
      <x:c r="I41" s="54" t="n">
        <x:v>1100</x:v>
      </x:c>
      <x:c r="J41" s="62" t="n">
        <x:v>8</x:v>
      </x:c>
      <x:c r="K41" s="62" t="n">
        <x:v>0.49</x:v>
      </x:c>
      <x:c r="L41" s="62" t="n">
        <x:v>0.1</x:v>
      </x:c>
      <x:c r="M41" s="54" t="n">
        <x:v>20</x:v>
      </x:c>
      <x:c r="N41" s="54" t="n">
        <x:v>500</x:v>
      </x:c>
      <x:c r="O41" s="46" t="str">
        <x:v>Serbest veya constrained-layer</x:v>
      </x:c>
      <x:c r="P41" s="46" t="str"/>
      <x:c r="Q41" s="46" t="str">
        <x:v>DÜŞÜK</x:v>
      </x:c>
      <x:c r="R41" s="46" t="str"/>
      <x:c r="S41" s="50" t="str">
        <x:v>E' ve η yalnız temsili başlangıç değeridir; DMA ile frekans/sıcaklık bağımlı master-curve gerekir.</x:v>
      </x:c>
    </x:row>
    <x:row r="42">
      <x:c r="A42" s="47" t="str">
        <x:v>DAMP-SILICONE</x:v>
      </x:c>
      <x:c r="B42" s="47" t="str">
        <x:v>Damping</x:v>
      </x:c>
      <x:c r="C42" s="47" t="str">
        <x:v>Silikon elastomer</x:v>
      </x:c>
      <x:c r="D42" s="47" t="str">
        <x:v>GENERIC</x:v>
      </x:c>
      <x:c r="E42" s="47" t="str">
        <x:v>SILICONE</x:v>
      </x:c>
      <x:c r="F42" s="71" t="str">
        <x:v>ENGINEERING_DEFAULT</x:v>
      </x:c>
      <x:c r="G42" s="63" t="n">
        <x:v>3</x:v>
      </x:c>
      <x:c r="H42" s="63" t="n">
        <x:v>3.15</x:v>
      </x:c>
      <x:c r="I42" s="55" t="n">
        <x:v>1050</x:v>
      </x:c>
      <x:c r="J42" s="63" t="n">
        <x:v>1.5</x:v>
      </x:c>
      <x:c r="K42" s="63" t="n">
        <x:v>0.49</x:v>
      </x:c>
      <x:c r="L42" s="63" t="n">
        <x:v>0.18</x:v>
      </x:c>
      <x:c r="M42" s="55" t="n">
        <x:v>20</x:v>
      </x:c>
      <x:c r="N42" s="55" t="n">
        <x:v>500</x:v>
      </x:c>
      <x:c r="O42" s="47" t="str">
        <x:v>Serbest veya constrained-layer</x:v>
      </x:c>
      <x:c r="P42" s="47" t="str"/>
      <x:c r="Q42" s="47" t="str">
        <x:v>DÜŞÜK</x:v>
      </x:c>
      <x:c r="R42" s="47" t="str"/>
      <x:c r="S42" s="51" t="str">
        <x:v>E' ve η yalnız temsili başlangıç değeridir; DMA ile frekans/sıcaklık bağımlı master-curve gerekir.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5212fe2a66744d0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2" hidden="0" customWidth="1"/>
    <x:col min="3" max="3" width="30" hidden="0" customWidth="1"/>
    <x:col min="4" max="4" width="18" hidden="0" customWidth="1"/>
    <x:col min="5" max="5" width="25" hidden="0" customWidth="1"/>
    <x:col min="6" max="6" width="24" hidden="0" customWidth="1"/>
    <x:col min="7" max="7" width="12" hidden="0" customWidth="1"/>
    <x:col min="8" max="8" width="14" hidden="0" customWidth="1"/>
    <x:col min="9" max="9" width="15" hidden="0" customWidth="1"/>
    <x:col min="10" max="10" width="14" hidden="0" customWidth="1"/>
    <x:col min="11" max="11" width="11" hidden="0" customWidth="1"/>
    <x:col min="12" max="12" width="13" hidden="0" customWidth="1"/>
    <x:col min="13" max="13" width="16" hidden="0" customWidth="1"/>
    <x:col min="14" max="14" width="15" hidden="0" customWidth="1"/>
    <x:col min="15" max="15" width="11" hidden="0" customWidth="1"/>
    <x:col min="16" max="16" width="28" hidden="0" customWidth="1"/>
    <x:col min="17" max="17" width="22" hidden="0" customWidth="1"/>
    <x:col min="18" max="18" width="44" hidden="0" customWidth="1"/>
    <x:col min="19" max="19" width="50" hidden="0" customWidth="1"/>
  </x:cols>
  <x:sheetData>
    <x:row r="1" ht="30" customHeight="1">
      <x:c r="A1" s="5" t="str">
        <x:v>ZEMİN KATMANLARI – taşıyıcı döşeme, şap, kaplama ve elastik altlık</x:v>
      </x:c>
    </x:row>
    <x:row r="2" ht="34" customHeight="1">
      <x:c r="A2" s="13" t="str">
        <x:v>Katman özellikleri, yüzer döşeme rezonansı ve yüzey kütlesi hesabı için hazırlanmıştır. Ürün ΔLw/ΔLn,w sonuçları ayrı Delta_Lnw sayfasındadır.</x:v>
      </x:c>
    </x:row>
    <x:row r="4" ht="42" customHeight="1">
      <x:c r="A4" s="23" t="str">
        <x:v>Layer_ID</x:v>
      </x:c>
      <x:c r="B4" s="23" t="str">
        <x:v>Ana_Grup</x:v>
      </x:c>
      <x:c r="C4" s="23" t="str">
        <x:v>Alt_Tür</x:v>
      </x:c>
      <x:c r="D4" s="23" t="str">
        <x:v>Üretici</x:v>
      </x:c>
      <x:c r="E4" s="23" t="str">
        <x:v>Ürün / Model</x:v>
      </x:c>
      <x:c r="F4" s="23" t="str">
        <x:v>Veri_Sınıfı</x:v>
      </x:c>
      <x:c r="G4" s="23" t="str">
        <x:v>Kalınlık [mm]</x:v>
      </x:c>
      <x:c r="H4" s="23" t="str">
        <x:v>Yoğunluk [kg/m³]</x:v>
      </x:c>
      <x:c r="I4" s="23" t="str">
        <x:v>Yüzey_Kütlesi [kg/m²]</x:v>
      </x:c>
      <x:c r="J4" s="23" t="str">
        <x:v>E_Dinamik [GPa]</x:v>
      </x:c>
      <x:c r="K4" s="23" t="str">
        <x:v>Poisson_ν [-]</x:v>
      </x:c>
      <x:c r="L4" s="23" t="str">
        <x:v>Kayıp_Faktörü_η [-]</x:v>
      </x:c>
      <x:c r="M4" s="23" t="str">
        <x:v>Dinamik_Rijitlik_s' [MN/m³]</x:v>
      </x:c>
      <x:c r="N4" s="23" t="str">
        <x:v>Sıkışabilirlik [mm]</x:v>
      </x:c>
      <x:c r="O4" s="23" t="str">
        <x:v>λ [W/mK]</x:v>
      </x:c>
      <x:c r="P4" s="23" t="str">
        <x:v>Uygulama</x:v>
      </x:c>
      <x:c r="Q4" s="23" t="str">
        <x:v>Güven_Düzeyi</x:v>
      </x:c>
      <x:c r="R4" s="23" t="str">
        <x:v>Kaynak_URL</x:v>
      </x:c>
      <x:c r="S4" s="23" t="str">
        <x:v>Notlar</x:v>
      </x:c>
    </x:row>
    <x:row r="5">
      <x:c r="A5" s="46" t="str">
        <x:v>FL-RC-C30-100</x:v>
      </x:c>
      <x:c r="B5" s="46" t="str">
        <x:v>Taşıyıcı döşeme</x:v>
      </x:c>
      <x:c r="C5" s="46" t="str">
        <x:v>Betonarme C30/37</x:v>
      </x:c>
      <x:c r="D5" s="46" t="str">
        <x:v>GENERIC / EN 1992</x:v>
      </x:c>
      <x:c r="E5" s="46" t="str">
        <x:v>C30/37</x:v>
      </x:c>
      <x:c r="F5" s="70" t="str">
        <x:v>CODE_BASED_ENGINEERING</x:v>
      </x:c>
      <x:c r="G5" s="54" t="n">
        <x:v>100</x:v>
      </x:c>
      <x:c r="H5" s="54" t="n">
        <x:v>2500</x:v>
      </x:c>
      <x:c r="I5" s="74" t="n">
        <x:f>IF(OR(G5="",H5=""),"",G5/1000*H5)</x:f>
        <x:v>250</x:v>
      </x:c>
      <x:c r="J5" s="90" t="n">
        <x:v>32.84</x:v>
      </x:c>
      <x:c r="K5" s="62" t="n">
        <x:v>0.2</x:v>
      </x:c>
      <x:c r="L5" s="62" t="n">
        <x:v>0.015</x:v>
      </x:c>
      <x:c r="M5" s="54"/>
      <x:c r="N5" s="54"/>
      <x:c r="O5" s="62" t="n">
        <x:v>2</x:v>
      </x:c>
      <x:c r="P5" s="46" t="str">
        <x:v>Referans ağır döşeme</x:v>
      </x:c>
      <x:c r="Q5" s="46" t="str">
        <x:v>ORTA</x:v>
      </x:c>
      <x:c r="R5" s="46" t="str">
        <x:v>https://eurocodes.jrc.ec.europa.eu/</x:v>
      </x:c>
      <x:c r="S5" s="50" t="str">
        <x:v>L'n,w bina hesabında birleşim/flanking ve sınır koşulları ayrıca gerekir.</x:v>
      </x:c>
    </x:row>
    <x:row r="6">
      <x:c r="A6" s="46" t="str">
        <x:v>FL-RC-C30-120</x:v>
      </x:c>
      <x:c r="B6" s="46" t="str">
        <x:v>Taşıyıcı döşeme</x:v>
      </x:c>
      <x:c r="C6" s="46" t="str">
        <x:v>Betonarme C30/37</x:v>
      </x:c>
      <x:c r="D6" s="46" t="str">
        <x:v>GENERIC / EN 1992</x:v>
      </x:c>
      <x:c r="E6" s="46" t="str">
        <x:v>C30/37</x:v>
      </x:c>
      <x:c r="F6" s="70" t="str">
        <x:v>CODE_BASED_ENGINEERING</x:v>
      </x:c>
      <x:c r="G6" s="54" t="n">
        <x:v>120</x:v>
      </x:c>
      <x:c r="H6" s="54" t="n">
        <x:v>2500</x:v>
      </x:c>
      <x:c r="I6" s="74" t="n">
        <x:f>IF(OR(G6="",H6=""),"",G6/1000*H6)</x:f>
        <x:v>300</x:v>
      </x:c>
      <x:c r="J6" s="90" t="n">
        <x:v>32.84</x:v>
      </x:c>
      <x:c r="K6" s="62" t="n">
        <x:v>0.2</x:v>
      </x:c>
      <x:c r="L6" s="62" t="n">
        <x:v>0.015</x:v>
      </x:c>
      <x:c r="M6" s="54"/>
      <x:c r="N6" s="54"/>
      <x:c r="O6" s="62" t="n">
        <x:v>2</x:v>
      </x:c>
      <x:c r="P6" s="46" t="str">
        <x:v>Referans ağır döşeme</x:v>
      </x:c>
      <x:c r="Q6" s="46" t="str">
        <x:v>ORTA</x:v>
      </x:c>
      <x:c r="R6" s="46" t="str">
        <x:v>https://eurocodes.jrc.ec.europa.eu/</x:v>
      </x:c>
      <x:c r="S6" s="50" t="str">
        <x:v>L'n,w bina hesabında birleşim/flanking ve sınır koşulları ayrıca gerekir.</x:v>
      </x:c>
    </x:row>
    <x:row r="7">
      <x:c r="A7" s="46" t="str">
        <x:v>FL-RC-C30-150</x:v>
      </x:c>
      <x:c r="B7" s="46" t="str">
        <x:v>Taşıyıcı döşeme</x:v>
      </x:c>
      <x:c r="C7" s="46" t="str">
        <x:v>Betonarme C30/37</x:v>
      </x:c>
      <x:c r="D7" s="46" t="str">
        <x:v>GENERIC / EN 1992</x:v>
      </x:c>
      <x:c r="E7" s="46" t="str">
        <x:v>C30/37</x:v>
      </x:c>
      <x:c r="F7" s="70" t="str">
        <x:v>CODE_BASED_ENGINEERING</x:v>
      </x:c>
      <x:c r="G7" s="54" t="n">
        <x:v>150</x:v>
      </x:c>
      <x:c r="H7" s="54" t="n">
        <x:v>2500</x:v>
      </x:c>
      <x:c r="I7" s="74" t="n">
        <x:f>IF(OR(G7="",H7=""),"",G7/1000*H7)</x:f>
        <x:v>375</x:v>
      </x:c>
      <x:c r="J7" s="90" t="n">
        <x:v>32.84</x:v>
      </x:c>
      <x:c r="K7" s="62" t="n">
        <x:v>0.2</x:v>
      </x:c>
      <x:c r="L7" s="62" t="n">
        <x:v>0.015</x:v>
      </x:c>
      <x:c r="M7" s="54"/>
      <x:c r="N7" s="54"/>
      <x:c r="O7" s="62" t="n">
        <x:v>2</x:v>
      </x:c>
      <x:c r="P7" s="46" t="str">
        <x:v>Referans ağır döşeme</x:v>
      </x:c>
      <x:c r="Q7" s="46" t="str">
        <x:v>ORTA</x:v>
      </x:c>
      <x:c r="R7" s="46" t="str">
        <x:v>https://eurocodes.jrc.ec.europa.eu/</x:v>
      </x:c>
      <x:c r="S7" s="50" t="str">
        <x:v>L'n,w bina hesabında birleşim/flanking ve sınır koşulları ayrıca gerekir.</x:v>
      </x:c>
    </x:row>
    <x:row r="8">
      <x:c r="A8" s="46" t="str">
        <x:v>FL-RC-C30-180</x:v>
      </x:c>
      <x:c r="B8" s="46" t="str">
        <x:v>Taşıyıcı döşeme</x:v>
      </x:c>
      <x:c r="C8" s="46" t="str">
        <x:v>Betonarme C30/37</x:v>
      </x:c>
      <x:c r="D8" s="46" t="str">
        <x:v>GENERIC / EN 1992</x:v>
      </x:c>
      <x:c r="E8" s="46" t="str">
        <x:v>C30/37</x:v>
      </x:c>
      <x:c r="F8" s="70" t="str">
        <x:v>CODE_BASED_ENGINEERING</x:v>
      </x:c>
      <x:c r="G8" s="54" t="n">
        <x:v>180</x:v>
      </x:c>
      <x:c r="H8" s="54" t="n">
        <x:v>2500</x:v>
      </x:c>
      <x:c r="I8" s="74" t="n">
        <x:f>IF(OR(G8="",H8=""),"",G8/1000*H8)</x:f>
        <x:v>450</x:v>
      </x:c>
      <x:c r="J8" s="90" t="n">
        <x:v>32.84</x:v>
      </x:c>
      <x:c r="K8" s="62" t="n">
        <x:v>0.2</x:v>
      </x:c>
      <x:c r="L8" s="62" t="n">
        <x:v>0.015</x:v>
      </x:c>
      <x:c r="M8" s="54"/>
      <x:c r="N8" s="54"/>
      <x:c r="O8" s="62" t="n">
        <x:v>2</x:v>
      </x:c>
      <x:c r="P8" s="46" t="str">
        <x:v>Referans ağır döşeme</x:v>
      </x:c>
      <x:c r="Q8" s="46" t="str">
        <x:v>ORTA</x:v>
      </x:c>
      <x:c r="R8" s="46" t="str">
        <x:v>https://eurocodes.jrc.ec.europa.eu/</x:v>
      </x:c>
      <x:c r="S8" s="50" t="str">
        <x:v>L'n,w bina hesabında birleşim/flanking ve sınır koşulları ayrıca gerekir.</x:v>
      </x:c>
    </x:row>
    <x:row r="9">
      <x:c r="A9" s="46" t="str">
        <x:v>FL-RC-C30-200</x:v>
      </x:c>
      <x:c r="B9" s="46" t="str">
        <x:v>Taşıyıcı döşeme</x:v>
      </x:c>
      <x:c r="C9" s="46" t="str">
        <x:v>Betonarme C30/37</x:v>
      </x:c>
      <x:c r="D9" s="46" t="str">
        <x:v>GENERIC / EN 1992</x:v>
      </x:c>
      <x:c r="E9" s="46" t="str">
        <x:v>C30/37</x:v>
      </x:c>
      <x:c r="F9" s="70" t="str">
        <x:v>CODE_BASED_ENGINEERING</x:v>
      </x:c>
      <x:c r="G9" s="54" t="n">
        <x:v>200</x:v>
      </x:c>
      <x:c r="H9" s="54" t="n">
        <x:v>2500</x:v>
      </x:c>
      <x:c r="I9" s="74" t="n">
        <x:f>IF(OR(G9="",H9=""),"",G9/1000*H9)</x:f>
        <x:v>500</x:v>
      </x:c>
      <x:c r="J9" s="90" t="n">
        <x:v>32.84</x:v>
      </x:c>
      <x:c r="K9" s="62" t="n">
        <x:v>0.2</x:v>
      </x:c>
      <x:c r="L9" s="62" t="n">
        <x:v>0.015</x:v>
      </x:c>
      <x:c r="M9" s="54"/>
      <x:c r="N9" s="54"/>
      <x:c r="O9" s="62" t="n">
        <x:v>2</x:v>
      </x:c>
      <x:c r="P9" s="46" t="str">
        <x:v>Referans ağır döşeme</x:v>
      </x:c>
      <x:c r="Q9" s="46" t="str">
        <x:v>ORTA</x:v>
      </x:c>
      <x:c r="R9" s="46" t="str">
        <x:v>https://eurocodes.jrc.ec.europa.eu/</x:v>
      </x:c>
      <x:c r="S9" s="50" t="str">
        <x:v>L'n,w bina hesabında birleşim/flanking ve sınır koşulları ayrıca gerekir.</x:v>
      </x:c>
    </x:row>
    <x:row r="10">
      <x:c r="A10" s="46" t="str">
        <x:v>FL-RC-C30-220</x:v>
      </x:c>
      <x:c r="B10" s="46" t="str">
        <x:v>Taşıyıcı döşeme</x:v>
      </x:c>
      <x:c r="C10" s="46" t="str">
        <x:v>Betonarme C30/37</x:v>
      </x:c>
      <x:c r="D10" s="46" t="str">
        <x:v>GENERIC / EN 1992</x:v>
      </x:c>
      <x:c r="E10" s="46" t="str">
        <x:v>C30/37</x:v>
      </x:c>
      <x:c r="F10" s="70" t="str">
        <x:v>CODE_BASED_ENGINEERING</x:v>
      </x:c>
      <x:c r="G10" s="54" t="n">
        <x:v>220</x:v>
      </x:c>
      <x:c r="H10" s="54" t="n">
        <x:v>2500</x:v>
      </x:c>
      <x:c r="I10" s="74" t="n">
        <x:f>IF(OR(G10="",H10=""),"",G10/1000*H10)</x:f>
        <x:v>550</x:v>
      </x:c>
      <x:c r="J10" s="90" t="n">
        <x:v>32.84</x:v>
      </x:c>
      <x:c r="K10" s="62" t="n">
        <x:v>0.2</x:v>
      </x:c>
      <x:c r="L10" s="62" t="n">
        <x:v>0.015</x:v>
      </x:c>
      <x:c r="M10" s="54"/>
      <x:c r="N10" s="54"/>
      <x:c r="O10" s="62" t="n">
        <x:v>2</x:v>
      </x:c>
      <x:c r="P10" s="46" t="str">
        <x:v>Referans ağır döşeme</x:v>
      </x:c>
      <x:c r="Q10" s="46" t="str">
        <x:v>ORTA</x:v>
      </x:c>
      <x:c r="R10" s="46" t="str">
        <x:v>https://eurocodes.jrc.ec.europa.eu/</x:v>
      </x:c>
      <x:c r="S10" s="50" t="str">
        <x:v>L'n,w bina hesabında birleşim/flanking ve sınır koşulları ayrıca gerekir.</x:v>
      </x:c>
    </x:row>
    <x:row r="11">
      <x:c r="A11" s="46" t="str">
        <x:v>FL-RC-C30-250</x:v>
      </x:c>
      <x:c r="B11" s="46" t="str">
        <x:v>Taşıyıcı döşeme</x:v>
      </x:c>
      <x:c r="C11" s="46" t="str">
        <x:v>Betonarme C30/37</x:v>
      </x:c>
      <x:c r="D11" s="46" t="str">
        <x:v>GENERIC / EN 1992</x:v>
      </x:c>
      <x:c r="E11" s="46" t="str">
        <x:v>C30/37</x:v>
      </x:c>
      <x:c r="F11" s="70" t="str">
        <x:v>CODE_BASED_ENGINEERING</x:v>
      </x:c>
      <x:c r="G11" s="54" t="n">
        <x:v>250</x:v>
      </x:c>
      <x:c r="H11" s="54" t="n">
        <x:v>2500</x:v>
      </x:c>
      <x:c r="I11" s="74" t="n">
        <x:f>IF(OR(G11="",H11=""),"",G11/1000*H11)</x:f>
        <x:v>625</x:v>
      </x:c>
      <x:c r="J11" s="90" t="n">
        <x:v>32.84</x:v>
      </x:c>
      <x:c r="K11" s="62" t="n">
        <x:v>0.2</x:v>
      </x:c>
      <x:c r="L11" s="62" t="n">
        <x:v>0.015</x:v>
      </x:c>
      <x:c r="M11" s="54"/>
      <x:c r="N11" s="54"/>
      <x:c r="O11" s="62" t="n">
        <x:v>2</x:v>
      </x:c>
      <x:c r="P11" s="46" t="str">
        <x:v>Referans ağır döşeme</x:v>
      </x:c>
      <x:c r="Q11" s="46" t="str">
        <x:v>ORTA</x:v>
      </x:c>
      <x:c r="R11" s="46" t="str">
        <x:v>https://eurocodes.jrc.ec.europa.eu/</x:v>
      </x:c>
      <x:c r="S11" s="50" t="str">
        <x:v>L'n,w bina hesabında birleşim/flanking ve sınır koşulları ayrıca gerekir.</x:v>
      </x:c>
    </x:row>
    <x:row r="12">
      <x:c r="A12" s="46" t="str">
        <x:v>FL-RC-C30-300</x:v>
      </x:c>
      <x:c r="B12" s="46" t="str">
        <x:v>Taşıyıcı döşeme</x:v>
      </x:c>
      <x:c r="C12" s="46" t="str">
        <x:v>Betonarme C30/37</x:v>
      </x:c>
      <x:c r="D12" s="46" t="str">
        <x:v>GENERIC / EN 1992</x:v>
      </x:c>
      <x:c r="E12" s="46" t="str">
        <x:v>C30/37</x:v>
      </x:c>
      <x:c r="F12" s="70" t="str">
        <x:v>CODE_BASED_ENGINEERING</x:v>
      </x:c>
      <x:c r="G12" s="54" t="n">
        <x:v>300</x:v>
      </x:c>
      <x:c r="H12" s="54" t="n">
        <x:v>2500</x:v>
      </x:c>
      <x:c r="I12" s="74" t="n">
        <x:f>IF(OR(G12="",H12=""),"",G12/1000*H12)</x:f>
        <x:v>750</x:v>
      </x:c>
      <x:c r="J12" s="90" t="n">
        <x:v>32.84</x:v>
      </x:c>
      <x:c r="K12" s="62" t="n">
        <x:v>0.2</x:v>
      </x:c>
      <x:c r="L12" s="62" t="n">
        <x:v>0.015</x:v>
      </x:c>
      <x:c r="M12" s="54"/>
      <x:c r="N12" s="54"/>
      <x:c r="O12" s="62" t="n">
        <x:v>2</x:v>
      </x:c>
      <x:c r="P12" s="46" t="str">
        <x:v>Referans ağır döşeme</x:v>
      </x:c>
      <x:c r="Q12" s="46" t="str">
        <x:v>ORTA</x:v>
      </x:c>
      <x:c r="R12" s="46" t="str">
        <x:v>https://eurocodes.jrc.ec.europa.eu/</x:v>
      </x:c>
      <x:c r="S12" s="50" t="str">
        <x:v>L'n,w bina hesabında birleşim/flanking ve sınır koşulları ayrıca gerekir.</x:v>
      </x:c>
    </x:row>
    <x:row r="13">
      <x:c r="A13" s="46" t="str">
        <x:v>FL-RC-C30-350</x:v>
      </x:c>
      <x:c r="B13" s="46" t="str">
        <x:v>Taşıyıcı döşeme</x:v>
      </x:c>
      <x:c r="C13" s="46" t="str">
        <x:v>Betonarme C30/37</x:v>
      </x:c>
      <x:c r="D13" s="46" t="str">
        <x:v>GENERIC / EN 1992</x:v>
      </x:c>
      <x:c r="E13" s="46" t="str">
        <x:v>C30/37</x:v>
      </x:c>
      <x:c r="F13" s="70" t="str">
        <x:v>CODE_BASED_ENGINEERING</x:v>
      </x:c>
      <x:c r="G13" s="54" t="n">
        <x:v>350</x:v>
      </x:c>
      <x:c r="H13" s="54" t="n">
        <x:v>2500</x:v>
      </x:c>
      <x:c r="I13" s="74" t="n">
        <x:f>IF(OR(G13="",H13=""),"",G13/1000*H13)</x:f>
        <x:v>875</x:v>
      </x:c>
      <x:c r="J13" s="90" t="n">
        <x:v>32.84</x:v>
      </x:c>
      <x:c r="K13" s="62" t="n">
        <x:v>0.2</x:v>
      </x:c>
      <x:c r="L13" s="62" t="n">
        <x:v>0.015</x:v>
      </x:c>
      <x:c r="M13" s="54"/>
      <x:c r="N13" s="54"/>
      <x:c r="O13" s="62" t="n">
        <x:v>2</x:v>
      </x:c>
      <x:c r="P13" s="46" t="str">
        <x:v>Referans ağır döşeme</x:v>
      </x:c>
      <x:c r="Q13" s="46" t="str">
        <x:v>ORTA</x:v>
      </x:c>
      <x:c r="R13" s="46" t="str">
        <x:v>https://eurocodes.jrc.ec.europa.eu/</x:v>
      </x:c>
      <x:c r="S13" s="50" t="str">
        <x:v>L'n,w bina hesabında birleşim/flanking ve sınır koşulları ayrıca gerekir.</x:v>
      </x:c>
    </x:row>
    <x:row r="14">
      <x:c r="A14" s="46" t="str">
        <x:v>FL-RC-C30-400</x:v>
      </x:c>
      <x:c r="B14" s="46" t="str">
        <x:v>Taşıyıcı döşeme</x:v>
      </x:c>
      <x:c r="C14" s="46" t="str">
        <x:v>Betonarme C30/37</x:v>
      </x:c>
      <x:c r="D14" s="46" t="str">
        <x:v>GENERIC / EN 1992</x:v>
      </x:c>
      <x:c r="E14" s="46" t="str">
        <x:v>C30/37</x:v>
      </x:c>
      <x:c r="F14" s="70" t="str">
        <x:v>CODE_BASED_ENGINEERING</x:v>
      </x:c>
      <x:c r="G14" s="54" t="n">
        <x:v>400</x:v>
      </x:c>
      <x:c r="H14" s="54" t="n">
        <x:v>2500</x:v>
      </x:c>
      <x:c r="I14" s="74" t="n">
        <x:f>IF(OR(G14="",H14=""),"",G14/1000*H14)</x:f>
        <x:v>1000</x:v>
      </x:c>
      <x:c r="J14" s="90" t="n">
        <x:v>32.84</x:v>
      </x:c>
      <x:c r="K14" s="62" t="n">
        <x:v>0.2</x:v>
      </x:c>
      <x:c r="L14" s="62" t="n">
        <x:v>0.015</x:v>
      </x:c>
      <x:c r="M14" s="54"/>
      <x:c r="N14" s="54"/>
      <x:c r="O14" s="62" t="n">
        <x:v>2</x:v>
      </x:c>
      <x:c r="P14" s="46" t="str">
        <x:v>Referans ağır döşeme</x:v>
      </x:c>
      <x:c r="Q14" s="46" t="str">
        <x:v>ORTA</x:v>
      </x:c>
      <x:c r="R14" s="46" t="str">
        <x:v>https://eurocodes.jrc.ec.europa.eu/</x:v>
      </x:c>
      <x:c r="S14" s="50" t="str">
        <x:v>L'n,w bina hesabında birleşim/flanking ve sınır koşulları ayrıca gerekir.</x:v>
      </x:c>
    </x:row>
    <x:row r="15">
      <x:c r="A15" s="46" t="str">
        <x:v>FL-SCR-CEMENT-30</x:v>
      </x:c>
      <x:c r="B15" s="46" t="str">
        <x:v>Şap / yüzer plaka</x:v>
      </x:c>
      <x:c r="C15" s="46" t="str">
        <x:v>Çimento şapı</x:v>
      </x:c>
      <x:c r="D15" s="46" t="str">
        <x:v>GENERIC</x:v>
      </x:c>
      <x:c r="E15" s="46" t="str">
        <x:v>CEMENT</x:v>
      </x:c>
      <x:c r="F15" s="70" t="str">
        <x:v>ENGINEERING_DEFAULT</x:v>
      </x:c>
      <x:c r="G15" s="54" t="n">
        <x:v>30</x:v>
      </x:c>
      <x:c r="H15" s="54" t="n">
        <x:v>2000</x:v>
      </x:c>
      <x:c r="I15" s="74" t="n">
        <x:f>IF(OR(G15="",H15=""),"",G15/1000*H15)</x:f>
        <x:v>60</x:v>
      </x:c>
      <x:c r="J15" s="90" t="n">
        <x:v>20</x:v>
      </x:c>
      <x:c r="K15" s="62" t="n">
        <x:v>0.2</x:v>
      </x:c>
      <x:c r="L15" s="62" t="n">
        <x:v>0.02</x:v>
      </x:c>
      <x:c r="M15" s="54"/>
      <x:c r="N15" s="54"/>
      <x:c r="O15" s="62" t="n">
        <x:v>1.2</x:v>
      </x:c>
      <x:c r="P15" s="46" t="str">
        <x:v>Yüzer veya bağlı şap; sistem koşuluna göre</x:v>
      </x:c>
      <x:c r="Q15" s="46" t="str">
        <x:v>DÜŞÜK-ORTA</x:v>
      </x:c>
      <x:c r="R15" s="46" t="str"/>
      <x:c r="S15" s="50" t="str">
        <x:v>Şap yüzey kütlesi ve elastik tabaka s' değeri yüzer döşeme rezonansını belirler.</x:v>
      </x:c>
    </x:row>
    <x:row r="16">
      <x:c r="A16" s="46" t="str">
        <x:v>FL-SCR-CEMENT-40</x:v>
      </x:c>
      <x:c r="B16" s="46" t="str">
        <x:v>Şap / yüzer plaka</x:v>
      </x:c>
      <x:c r="C16" s="46" t="str">
        <x:v>Çimento şapı</x:v>
      </x:c>
      <x:c r="D16" s="46" t="str">
        <x:v>GENERIC</x:v>
      </x:c>
      <x:c r="E16" s="46" t="str">
        <x:v>CEMENT</x:v>
      </x:c>
      <x:c r="F16" s="70" t="str">
        <x:v>ENGINEERING_DEFAULT</x:v>
      </x:c>
      <x:c r="G16" s="54" t="n">
        <x:v>40</x:v>
      </x:c>
      <x:c r="H16" s="54" t="n">
        <x:v>2000</x:v>
      </x:c>
      <x:c r="I16" s="74" t="n">
        <x:f>IF(OR(G16="",H16=""),"",G16/1000*H16)</x:f>
        <x:v>80</x:v>
      </x:c>
      <x:c r="J16" s="90" t="n">
        <x:v>20</x:v>
      </x:c>
      <x:c r="K16" s="62" t="n">
        <x:v>0.2</x:v>
      </x:c>
      <x:c r="L16" s="62" t="n">
        <x:v>0.02</x:v>
      </x:c>
      <x:c r="M16" s="54"/>
      <x:c r="N16" s="54"/>
      <x:c r="O16" s="62" t="n">
        <x:v>1.2</x:v>
      </x:c>
      <x:c r="P16" s="46" t="str">
        <x:v>Yüzer veya bağlı şap; sistem koşuluna göre</x:v>
      </x:c>
      <x:c r="Q16" s="46" t="str">
        <x:v>DÜŞÜK-ORTA</x:v>
      </x:c>
      <x:c r="R16" s="46" t="str"/>
      <x:c r="S16" s="50" t="str">
        <x:v>Şap yüzey kütlesi ve elastik tabaka s' değeri yüzer döşeme rezonansını belirler.</x:v>
      </x:c>
    </x:row>
    <x:row r="17">
      <x:c r="A17" s="46" t="str">
        <x:v>FL-SCR-CEMENT-50</x:v>
      </x:c>
      <x:c r="B17" s="46" t="str">
        <x:v>Şap / yüzer plaka</x:v>
      </x:c>
      <x:c r="C17" s="46" t="str">
        <x:v>Çimento şapı</x:v>
      </x:c>
      <x:c r="D17" s="46" t="str">
        <x:v>GENERIC</x:v>
      </x:c>
      <x:c r="E17" s="46" t="str">
        <x:v>CEMENT</x:v>
      </x:c>
      <x:c r="F17" s="70" t="str">
        <x:v>ENGINEERING_DEFAULT</x:v>
      </x:c>
      <x:c r="G17" s="54" t="n">
        <x:v>50</x:v>
      </x:c>
      <x:c r="H17" s="54" t="n">
        <x:v>2000</x:v>
      </x:c>
      <x:c r="I17" s="74" t="n">
        <x:f>IF(OR(G17="",H17=""),"",G17/1000*H17)</x:f>
        <x:v>100</x:v>
      </x:c>
      <x:c r="J17" s="90" t="n">
        <x:v>20</x:v>
      </x:c>
      <x:c r="K17" s="62" t="n">
        <x:v>0.2</x:v>
      </x:c>
      <x:c r="L17" s="62" t="n">
        <x:v>0.02</x:v>
      </x:c>
      <x:c r="M17" s="54"/>
      <x:c r="N17" s="54"/>
      <x:c r="O17" s="62" t="n">
        <x:v>1.2</x:v>
      </x:c>
      <x:c r="P17" s="46" t="str">
        <x:v>Yüzer veya bağlı şap; sistem koşuluna göre</x:v>
      </x:c>
      <x:c r="Q17" s="46" t="str">
        <x:v>DÜŞÜK-ORTA</x:v>
      </x:c>
      <x:c r="R17" s="46" t="str"/>
      <x:c r="S17" s="50" t="str">
        <x:v>Şap yüzey kütlesi ve elastik tabaka s' değeri yüzer döşeme rezonansını belirler.</x:v>
      </x:c>
    </x:row>
    <x:row r="18">
      <x:c r="A18" s="46" t="str">
        <x:v>FL-SCR-CEMENT-60</x:v>
      </x:c>
      <x:c r="B18" s="46" t="str">
        <x:v>Şap / yüzer plaka</x:v>
      </x:c>
      <x:c r="C18" s="46" t="str">
        <x:v>Çimento şapı</x:v>
      </x:c>
      <x:c r="D18" s="46" t="str">
        <x:v>GENERIC</x:v>
      </x:c>
      <x:c r="E18" s="46" t="str">
        <x:v>CEMENT</x:v>
      </x:c>
      <x:c r="F18" s="70" t="str">
        <x:v>ENGINEERING_DEFAULT</x:v>
      </x:c>
      <x:c r="G18" s="54" t="n">
        <x:v>60</x:v>
      </x:c>
      <x:c r="H18" s="54" t="n">
        <x:v>2000</x:v>
      </x:c>
      <x:c r="I18" s="74" t="n">
        <x:f>IF(OR(G18="",H18=""),"",G18/1000*H18)</x:f>
        <x:v>120</x:v>
      </x:c>
      <x:c r="J18" s="90" t="n">
        <x:v>20</x:v>
      </x:c>
      <x:c r="K18" s="62" t="n">
        <x:v>0.2</x:v>
      </x:c>
      <x:c r="L18" s="62" t="n">
        <x:v>0.02</x:v>
      </x:c>
      <x:c r="M18" s="54"/>
      <x:c r="N18" s="54"/>
      <x:c r="O18" s="62" t="n">
        <x:v>1.2</x:v>
      </x:c>
      <x:c r="P18" s="46" t="str">
        <x:v>Yüzer veya bağlı şap; sistem koşuluna göre</x:v>
      </x:c>
      <x:c r="Q18" s="46" t="str">
        <x:v>DÜŞÜK-ORTA</x:v>
      </x:c>
      <x:c r="R18" s="46" t="str"/>
      <x:c r="S18" s="50" t="str">
        <x:v>Şap yüzey kütlesi ve elastik tabaka s' değeri yüzer döşeme rezonansını belirler.</x:v>
      </x:c>
    </x:row>
    <x:row r="19">
      <x:c r="A19" s="46" t="str">
        <x:v>FL-SCR-CEMENT-70</x:v>
      </x:c>
      <x:c r="B19" s="46" t="str">
        <x:v>Şap / yüzer plaka</x:v>
      </x:c>
      <x:c r="C19" s="46" t="str">
        <x:v>Çimento şapı</x:v>
      </x:c>
      <x:c r="D19" s="46" t="str">
        <x:v>GENERIC</x:v>
      </x:c>
      <x:c r="E19" s="46" t="str">
        <x:v>CEMENT</x:v>
      </x:c>
      <x:c r="F19" s="70" t="str">
        <x:v>ENGINEERING_DEFAULT</x:v>
      </x:c>
      <x:c r="G19" s="54" t="n">
        <x:v>70</x:v>
      </x:c>
      <x:c r="H19" s="54" t="n">
        <x:v>2000</x:v>
      </x:c>
      <x:c r="I19" s="74" t="n">
        <x:f>IF(OR(G19="",H19=""),"",G19/1000*H19)</x:f>
        <x:v>140</x:v>
      </x:c>
      <x:c r="J19" s="90" t="n">
        <x:v>20</x:v>
      </x:c>
      <x:c r="K19" s="62" t="n">
        <x:v>0.2</x:v>
      </x:c>
      <x:c r="L19" s="62" t="n">
        <x:v>0.02</x:v>
      </x:c>
      <x:c r="M19" s="54"/>
      <x:c r="N19" s="54"/>
      <x:c r="O19" s="62" t="n">
        <x:v>1.2</x:v>
      </x:c>
      <x:c r="P19" s="46" t="str">
        <x:v>Yüzer veya bağlı şap; sistem koşuluna göre</x:v>
      </x:c>
      <x:c r="Q19" s="46" t="str">
        <x:v>DÜŞÜK-ORTA</x:v>
      </x:c>
      <x:c r="R19" s="46" t="str"/>
      <x:c r="S19" s="50" t="str">
        <x:v>Şap yüzey kütlesi ve elastik tabaka s' değeri yüzer döşeme rezonansını belirler.</x:v>
      </x:c>
    </x:row>
    <x:row r="20">
      <x:c r="A20" s="46" t="str">
        <x:v>FL-SCR-CEMENT-80</x:v>
      </x:c>
      <x:c r="B20" s="46" t="str">
        <x:v>Şap / yüzer plaka</x:v>
      </x:c>
      <x:c r="C20" s="46" t="str">
        <x:v>Çimento şapı</x:v>
      </x:c>
      <x:c r="D20" s="46" t="str">
        <x:v>GENERIC</x:v>
      </x:c>
      <x:c r="E20" s="46" t="str">
        <x:v>CEMENT</x:v>
      </x:c>
      <x:c r="F20" s="70" t="str">
        <x:v>ENGINEERING_DEFAULT</x:v>
      </x:c>
      <x:c r="G20" s="54" t="n">
        <x:v>80</x:v>
      </x:c>
      <x:c r="H20" s="54" t="n">
        <x:v>2000</x:v>
      </x:c>
      <x:c r="I20" s="74" t="n">
        <x:f>IF(OR(G20="",H20=""),"",G20/1000*H20)</x:f>
        <x:v>160</x:v>
      </x:c>
      <x:c r="J20" s="90" t="n">
        <x:v>20</x:v>
      </x:c>
      <x:c r="K20" s="62" t="n">
        <x:v>0.2</x:v>
      </x:c>
      <x:c r="L20" s="62" t="n">
        <x:v>0.02</x:v>
      </x:c>
      <x:c r="M20" s="54"/>
      <x:c r="N20" s="54"/>
      <x:c r="O20" s="62" t="n">
        <x:v>1.2</x:v>
      </x:c>
      <x:c r="P20" s="46" t="str">
        <x:v>Yüzer veya bağlı şap; sistem koşuluna göre</x:v>
      </x:c>
      <x:c r="Q20" s="46" t="str">
        <x:v>DÜŞÜK-ORTA</x:v>
      </x:c>
      <x:c r="R20" s="46" t="str"/>
      <x:c r="S20" s="50" t="str">
        <x:v>Şap yüzey kütlesi ve elastik tabaka s' değeri yüzer döşeme rezonansını belirler.</x:v>
      </x:c>
    </x:row>
    <x:row r="21">
      <x:c r="A21" s="46" t="str">
        <x:v>FL-SCR-CEMENT-100</x:v>
      </x:c>
      <x:c r="B21" s="46" t="str">
        <x:v>Şap / yüzer plaka</x:v>
      </x:c>
      <x:c r="C21" s="46" t="str">
        <x:v>Çimento şapı</x:v>
      </x:c>
      <x:c r="D21" s="46" t="str">
        <x:v>GENERIC</x:v>
      </x:c>
      <x:c r="E21" s="46" t="str">
        <x:v>CEMENT</x:v>
      </x:c>
      <x:c r="F21" s="70" t="str">
        <x:v>ENGINEERING_DEFAULT</x:v>
      </x:c>
      <x:c r="G21" s="54" t="n">
        <x:v>100</x:v>
      </x:c>
      <x:c r="H21" s="54" t="n">
        <x:v>2000</x:v>
      </x:c>
      <x:c r="I21" s="74" t="n">
        <x:f>IF(OR(G21="",H21=""),"",G21/1000*H21)</x:f>
        <x:v>200</x:v>
      </x:c>
      <x:c r="J21" s="90" t="n">
        <x:v>20</x:v>
      </x:c>
      <x:c r="K21" s="62" t="n">
        <x:v>0.2</x:v>
      </x:c>
      <x:c r="L21" s="62" t="n">
        <x:v>0.02</x:v>
      </x:c>
      <x:c r="M21" s="54"/>
      <x:c r="N21" s="54"/>
      <x:c r="O21" s="62" t="n">
        <x:v>1.2</x:v>
      </x:c>
      <x:c r="P21" s="46" t="str">
        <x:v>Yüzer veya bağlı şap; sistem koşuluna göre</x:v>
      </x:c>
      <x:c r="Q21" s="46" t="str">
        <x:v>DÜŞÜK-ORTA</x:v>
      </x:c>
      <x:c r="R21" s="46" t="str"/>
      <x:c r="S21" s="50" t="str">
        <x:v>Şap yüzey kütlesi ve elastik tabaka s' değeri yüzer döşeme rezonansını belirler.</x:v>
      </x:c>
    </x:row>
    <x:row r="22">
      <x:c r="A22" s="46" t="str">
        <x:v>FL-SCR-ANHYDRITE-30</x:v>
      </x:c>
      <x:c r="B22" s="46" t="str">
        <x:v>Şap / yüzer plaka</x:v>
      </x:c>
      <x:c r="C22" s="46" t="str">
        <x:v>Anhidrit / kalsiyum sülfat şap</x:v>
      </x:c>
      <x:c r="D22" s="46" t="str">
        <x:v>GENERIC</x:v>
      </x:c>
      <x:c r="E22" s="46" t="str">
        <x:v>ANHYDRITE</x:v>
      </x:c>
      <x:c r="F22" s="70" t="str">
        <x:v>ENGINEERING_DEFAULT</x:v>
      </x:c>
      <x:c r="G22" s="54" t="n">
        <x:v>30</x:v>
      </x:c>
      <x:c r="H22" s="54" t="n">
        <x:v>2100</x:v>
      </x:c>
      <x:c r="I22" s="74" t="n">
        <x:f>IF(OR(G22="",H22=""),"",G22/1000*H22)</x:f>
        <x:v>63</x:v>
      </x:c>
      <x:c r="J22" s="90" t="n">
        <x:v>25</x:v>
      </x:c>
      <x:c r="K22" s="62" t="n">
        <x:v>0.22</x:v>
      </x:c>
      <x:c r="L22" s="62" t="n">
        <x:v>0.02</x:v>
      </x:c>
      <x:c r="M22" s="54"/>
      <x:c r="N22" s="54"/>
      <x:c r="O22" s="62" t="n">
        <x:v>1.4</x:v>
      </x:c>
      <x:c r="P22" s="46" t="str">
        <x:v>Yüzer veya bağlı şap; sistem koşuluna göre</x:v>
      </x:c>
      <x:c r="Q22" s="46" t="str">
        <x:v>DÜŞÜK-ORTA</x:v>
      </x:c>
      <x:c r="R22" s="46" t="str"/>
      <x:c r="S22" s="50" t="str">
        <x:v>Şap yüzey kütlesi ve elastik tabaka s' değeri yüzer döşeme rezonansını belirler.</x:v>
      </x:c>
    </x:row>
    <x:row r="23">
      <x:c r="A23" s="46" t="str">
        <x:v>FL-SCR-ANHYDRITE-40</x:v>
      </x:c>
      <x:c r="B23" s="46" t="str">
        <x:v>Şap / yüzer plaka</x:v>
      </x:c>
      <x:c r="C23" s="46" t="str">
        <x:v>Anhidrit / kalsiyum sülfat şap</x:v>
      </x:c>
      <x:c r="D23" s="46" t="str">
        <x:v>GENERIC</x:v>
      </x:c>
      <x:c r="E23" s="46" t="str">
        <x:v>ANHYDRITE</x:v>
      </x:c>
      <x:c r="F23" s="70" t="str">
        <x:v>ENGINEERING_DEFAULT</x:v>
      </x:c>
      <x:c r="G23" s="54" t="n">
        <x:v>40</x:v>
      </x:c>
      <x:c r="H23" s="54" t="n">
        <x:v>2100</x:v>
      </x:c>
      <x:c r="I23" s="74" t="n">
        <x:f>IF(OR(G23="",H23=""),"",G23/1000*H23)</x:f>
        <x:v>84</x:v>
      </x:c>
      <x:c r="J23" s="90" t="n">
        <x:v>25</x:v>
      </x:c>
      <x:c r="K23" s="62" t="n">
        <x:v>0.22</x:v>
      </x:c>
      <x:c r="L23" s="62" t="n">
        <x:v>0.02</x:v>
      </x:c>
      <x:c r="M23" s="54"/>
      <x:c r="N23" s="54"/>
      <x:c r="O23" s="62" t="n">
        <x:v>1.4</x:v>
      </x:c>
      <x:c r="P23" s="46" t="str">
        <x:v>Yüzer veya bağlı şap; sistem koşuluna göre</x:v>
      </x:c>
      <x:c r="Q23" s="46" t="str">
        <x:v>DÜŞÜK-ORTA</x:v>
      </x:c>
      <x:c r="R23" s="46" t="str"/>
      <x:c r="S23" s="50" t="str">
        <x:v>Şap yüzey kütlesi ve elastik tabaka s' değeri yüzer döşeme rezonansını belirler.</x:v>
      </x:c>
    </x:row>
    <x:row r="24">
      <x:c r="A24" s="46" t="str">
        <x:v>FL-SCR-ANHYDRITE-50</x:v>
      </x:c>
      <x:c r="B24" s="46" t="str">
        <x:v>Şap / yüzer plaka</x:v>
      </x:c>
      <x:c r="C24" s="46" t="str">
        <x:v>Anhidrit / kalsiyum sülfat şap</x:v>
      </x:c>
      <x:c r="D24" s="46" t="str">
        <x:v>GENERIC</x:v>
      </x:c>
      <x:c r="E24" s="46" t="str">
        <x:v>ANHYDRITE</x:v>
      </x:c>
      <x:c r="F24" s="70" t="str">
        <x:v>ENGINEERING_DEFAULT</x:v>
      </x:c>
      <x:c r="G24" s="54" t="n">
        <x:v>50</x:v>
      </x:c>
      <x:c r="H24" s="54" t="n">
        <x:v>2100</x:v>
      </x:c>
      <x:c r="I24" s="74" t="n">
        <x:f>IF(OR(G24="",H24=""),"",G24/1000*H24)</x:f>
        <x:v>105</x:v>
      </x:c>
      <x:c r="J24" s="90" t="n">
        <x:v>25</x:v>
      </x:c>
      <x:c r="K24" s="62" t="n">
        <x:v>0.22</x:v>
      </x:c>
      <x:c r="L24" s="62" t="n">
        <x:v>0.02</x:v>
      </x:c>
      <x:c r="M24" s="54"/>
      <x:c r="N24" s="54"/>
      <x:c r="O24" s="62" t="n">
        <x:v>1.4</x:v>
      </x:c>
      <x:c r="P24" s="46" t="str">
        <x:v>Yüzer veya bağlı şap; sistem koşuluna göre</x:v>
      </x:c>
      <x:c r="Q24" s="46" t="str">
        <x:v>DÜŞÜK-ORTA</x:v>
      </x:c>
      <x:c r="R24" s="46" t="str"/>
      <x:c r="S24" s="50" t="str">
        <x:v>Şap yüzey kütlesi ve elastik tabaka s' değeri yüzer döşeme rezonansını belirler.</x:v>
      </x:c>
    </x:row>
    <x:row r="25">
      <x:c r="A25" s="46" t="str">
        <x:v>FL-SCR-ANHYDRITE-60</x:v>
      </x:c>
      <x:c r="B25" s="46" t="str">
        <x:v>Şap / yüzer plaka</x:v>
      </x:c>
      <x:c r="C25" s="46" t="str">
        <x:v>Anhidrit / kalsiyum sülfat şap</x:v>
      </x:c>
      <x:c r="D25" s="46" t="str">
        <x:v>GENERIC</x:v>
      </x:c>
      <x:c r="E25" s="46" t="str">
        <x:v>ANHYDRITE</x:v>
      </x:c>
      <x:c r="F25" s="70" t="str">
        <x:v>ENGINEERING_DEFAULT</x:v>
      </x:c>
      <x:c r="G25" s="54" t="n">
        <x:v>60</x:v>
      </x:c>
      <x:c r="H25" s="54" t="n">
        <x:v>2100</x:v>
      </x:c>
      <x:c r="I25" s="74" t="n">
        <x:f>IF(OR(G25="",H25=""),"",G25/1000*H25)</x:f>
        <x:v>126</x:v>
      </x:c>
      <x:c r="J25" s="90" t="n">
        <x:v>25</x:v>
      </x:c>
      <x:c r="K25" s="62" t="n">
        <x:v>0.22</x:v>
      </x:c>
      <x:c r="L25" s="62" t="n">
        <x:v>0.02</x:v>
      </x:c>
      <x:c r="M25" s="54"/>
      <x:c r="N25" s="54"/>
      <x:c r="O25" s="62" t="n">
        <x:v>1.4</x:v>
      </x:c>
      <x:c r="P25" s="46" t="str">
        <x:v>Yüzer veya bağlı şap; sistem koşuluna göre</x:v>
      </x:c>
      <x:c r="Q25" s="46" t="str">
        <x:v>DÜŞÜK-ORTA</x:v>
      </x:c>
      <x:c r="R25" s="46" t="str"/>
      <x:c r="S25" s="50" t="str">
        <x:v>Şap yüzey kütlesi ve elastik tabaka s' değeri yüzer döşeme rezonansını belirler.</x:v>
      </x:c>
    </x:row>
    <x:row r="26">
      <x:c r="A26" s="46" t="str">
        <x:v>FL-SCR-ANHYDRITE-70</x:v>
      </x:c>
      <x:c r="B26" s="46" t="str">
        <x:v>Şap / yüzer plaka</x:v>
      </x:c>
      <x:c r="C26" s="46" t="str">
        <x:v>Anhidrit / kalsiyum sülfat şap</x:v>
      </x:c>
      <x:c r="D26" s="46" t="str">
        <x:v>GENERIC</x:v>
      </x:c>
      <x:c r="E26" s="46" t="str">
        <x:v>ANHYDRITE</x:v>
      </x:c>
      <x:c r="F26" s="70" t="str">
        <x:v>ENGINEERING_DEFAULT</x:v>
      </x:c>
      <x:c r="G26" s="54" t="n">
        <x:v>70</x:v>
      </x:c>
      <x:c r="H26" s="54" t="n">
        <x:v>2100</x:v>
      </x:c>
      <x:c r="I26" s="74" t="n">
        <x:f>IF(OR(G26="",H26=""),"",G26/1000*H26)</x:f>
        <x:v>147</x:v>
      </x:c>
      <x:c r="J26" s="90" t="n">
        <x:v>25</x:v>
      </x:c>
      <x:c r="K26" s="62" t="n">
        <x:v>0.22</x:v>
      </x:c>
      <x:c r="L26" s="62" t="n">
        <x:v>0.02</x:v>
      </x:c>
      <x:c r="M26" s="54"/>
      <x:c r="N26" s="54"/>
      <x:c r="O26" s="62" t="n">
        <x:v>1.4</x:v>
      </x:c>
      <x:c r="P26" s="46" t="str">
        <x:v>Yüzer veya bağlı şap; sistem koşuluna göre</x:v>
      </x:c>
      <x:c r="Q26" s="46" t="str">
        <x:v>DÜŞÜK-ORTA</x:v>
      </x:c>
      <x:c r="R26" s="46" t="str"/>
      <x:c r="S26" s="50" t="str">
        <x:v>Şap yüzey kütlesi ve elastik tabaka s' değeri yüzer döşeme rezonansını belirler.</x:v>
      </x:c>
    </x:row>
    <x:row r="27">
      <x:c r="A27" s="46" t="str">
        <x:v>FL-SCR-ANHYDRITE-80</x:v>
      </x:c>
      <x:c r="B27" s="46" t="str">
        <x:v>Şap / yüzer plaka</x:v>
      </x:c>
      <x:c r="C27" s="46" t="str">
        <x:v>Anhidrit / kalsiyum sülfat şap</x:v>
      </x:c>
      <x:c r="D27" s="46" t="str">
        <x:v>GENERIC</x:v>
      </x:c>
      <x:c r="E27" s="46" t="str">
        <x:v>ANHYDRITE</x:v>
      </x:c>
      <x:c r="F27" s="70" t="str">
        <x:v>ENGINEERING_DEFAULT</x:v>
      </x:c>
      <x:c r="G27" s="54" t="n">
        <x:v>80</x:v>
      </x:c>
      <x:c r="H27" s="54" t="n">
        <x:v>2100</x:v>
      </x:c>
      <x:c r="I27" s="74" t="n">
        <x:f>IF(OR(G27="",H27=""),"",G27/1000*H27)</x:f>
        <x:v>168</x:v>
      </x:c>
      <x:c r="J27" s="90" t="n">
        <x:v>25</x:v>
      </x:c>
      <x:c r="K27" s="62" t="n">
        <x:v>0.22</x:v>
      </x:c>
      <x:c r="L27" s="62" t="n">
        <x:v>0.02</x:v>
      </x:c>
      <x:c r="M27" s="54"/>
      <x:c r="N27" s="54"/>
      <x:c r="O27" s="62" t="n">
        <x:v>1.4</x:v>
      </x:c>
      <x:c r="P27" s="46" t="str">
        <x:v>Yüzer veya bağlı şap; sistem koşuluna göre</x:v>
      </x:c>
      <x:c r="Q27" s="46" t="str">
        <x:v>DÜŞÜK-ORTA</x:v>
      </x:c>
      <x:c r="R27" s="46" t="str"/>
      <x:c r="S27" s="50" t="str">
        <x:v>Şap yüzey kütlesi ve elastik tabaka s' değeri yüzer döşeme rezonansını belirler.</x:v>
      </x:c>
    </x:row>
    <x:row r="28">
      <x:c r="A28" s="46" t="str">
        <x:v>FL-SCR-LIGHT-30</x:v>
      </x:c>
      <x:c r="B28" s="46" t="str">
        <x:v>Şap / yüzer plaka</x:v>
      </x:c>
      <x:c r="C28" s="46" t="str">
        <x:v>Hafif şap</x:v>
      </x:c>
      <x:c r="D28" s="46" t="str">
        <x:v>GENERIC</x:v>
      </x:c>
      <x:c r="E28" s="46" t="str">
        <x:v>LIGHT</x:v>
      </x:c>
      <x:c r="F28" s="70" t="str">
        <x:v>ENGINEERING_DEFAULT</x:v>
      </x:c>
      <x:c r="G28" s="54" t="n">
        <x:v>30</x:v>
      </x:c>
      <x:c r="H28" s="54" t="n">
        <x:v>1400</x:v>
      </x:c>
      <x:c r="I28" s="74" t="n">
        <x:f>IF(OR(G28="",H28=""),"",G28/1000*H28)</x:f>
        <x:v>42</x:v>
      </x:c>
      <x:c r="J28" s="90" t="n">
        <x:v>8</x:v>
      </x:c>
      <x:c r="K28" s="62" t="n">
        <x:v>0.2</x:v>
      </x:c>
      <x:c r="L28" s="62" t="n">
        <x:v>0.03</x:v>
      </x:c>
      <x:c r="M28" s="54"/>
      <x:c r="N28" s="54"/>
      <x:c r="O28" s="62" t="n">
        <x:v>0.6</x:v>
      </x:c>
      <x:c r="P28" s="46" t="str">
        <x:v>Yüzer veya bağlı şap; sistem koşuluna göre</x:v>
      </x:c>
      <x:c r="Q28" s="46" t="str">
        <x:v>DÜŞÜK-ORTA</x:v>
      </x:c>
      <x:c r="R28" s="46" t="str"/>
      <x:c r="S28" s="50" t="str">
        <x:v>Şap yüzey kütlesi ve elastik tabaka s' değeri yüzer döşeme rezonansını belirler.</x:v>
      </x:c>
    </x:row>
    <x:row r="29">
      <x:c r="A29" s="46" t="str">
        <x:v>FL-SCR-LIGHT-40</x:v>
      </x:c>
      <x:c r="B29" s="46" t="str">
        <x:v>Şap / yüzer plaka</x:v>
      </x:c>
      <x:c r="C29" s="46" t="str">
        <x:v>Hafif şap</x:v>
      </x:c>
      <x:c r="D29" s="46" t="str">
        <x:v>GENERIC</x:v>
      </x:c>
      <x:c r="E29" s="46" t="str">
        <x:v>LIGHT</x:v>
      </x:c>
      <x:c r="F29" s="70" t="str">
        <x:v>ENGINEERING_DEFAULT</x:v>
      </x:c>
      <x:c r="G29" s="54" t="n">
        <x:v>40</x:v>
      </x:c>
      <x:c r="H29" s="54" t="n">
        <x:v>1400</x:v>
      </x:c>
      <x:c r="I29" s="74" t="n">
        <x:f>IF(OR(G29="",H29=""),"",G29/1000*H29)</x:f>
        <x:v>56</x:v>
      </x:c>
      <x:c r="J29" s="90" t="n">
        <x:v>8</x:v>
      </x:c>
      <x:c r="K29" s="62" t="n">
        <x:v>0.2</x:v>
      </x:c>
      <x:c r="L29" s="62" t="n">
        <x:v>0.03</x:v>
      </x:c>
      <x:c r="M29" s="54"/>
      <x:c r="N29" s="54"/>
      <x:c r="O29" s="62" t="n">
        <x:v>0.6</x:v>
      </x:c>
      <x:c r="P29" s="46" t="str">
        <x:v>Yüzer veya bağlı şap; sistem koşuluna göre</x:v>
      </x:c>
      <x:c r="Q29" s="46" t="str">
        <x:v>DÜŞÜK-ORTA</x:v>
      </x:c>
      <x:c r="R29" s="46" t="str"/>
      <x:c r="S29" s="50" t="str">
        <x:v>Şap yüzey kütlesi ve elastik tabaka s' değeri yüzer döşeme rezonansını belirler.</x:v>
      </x:c>
    </x:row>
    <x:row r="30">
      <x:c r="A30" s="46" t="str">
        <x:v>FL-SCR-LIGHT-50</x:v>
      </x:c>
      <x:c r="B30" s="46" t="str">
        <x:v>Şap / yüzer plaka</x:v>
      </x:c>
      <x:c r="C30" s="46" t="str">
        <x:v>Hafif şap</x:v>
      </x:c>
      <x:c r="D30" s="46" t="str">
        <x:v>GENERIC</x:v>
      </x:c>
      <x:c r="E30" s="46" t="str">
        <x:v>LIGHT</x:v>
      </x:c>
      <x:c r="F30" s="70" t="str">
        <x:v>ENGINEERING_DEFAULT</x:v>
      </x:c>
      <x:c r="G30" s="54" t="n">
        <x:v>50</x:v>
      </x:c>
      <x:c r="H30" s="54" t="n">
        <x:v>1400</x:v>
      </x:c>
      <x:c r="I30" s="74" t="n">
        <x:f>IF(OR(G30="",H30=""),"",G30/1000*H30)</x:f>
        <x:v>70</x:v>
      </x:c>
      <x:c r="J30" s="90" t="n">
        <x:v>8</x:v>
      </x:c>
      <x:c r="K30" s="62" t="n">
        <x:v>0.2</x:v>
      </x:c>
      <x:c r="L30" s="62" t="n">
        <x:v>0.03</x:v>
      </x:c>
      <x:c r="M30" s="54"/>
      <x:c r="N30" s="54"/>
      <x:c r="O30" s="62" t="n">
        <x:v>0.6</x:v>
      </x:c>
      <x:c r="P30" s="46" t="str">
        <x:v>Yüzer veya bağlı şap; sistem koşuluna göre</x:v>
      </x:c>
      <x:c r="Q30" s="46" t="str">
        <x:v>DÜŞÜK-ORTA</x:v>
      </x:c>
      <x:c r="R30" s="46" t="str"/>
      <x:c r="S30" s="50" t="str">
        <x:v>Şap yüzey kütlesi ve elastik tabaka s' değeri yüzer döşeme rezonansını belirler.</x:v>
      </x:c>
    </x:row>
    <x:row r="31">
      <x:c r="A31" s="46" t="str">
        <x:v>FL-SCR-LIGHT-60</x:v>
      </x:c>
      <x:c r="B31" s="46" t="str">
        <x:v>Şap / yüzer plaka</x:v>
      </x:c>
      <x:c r="C31" s="46" t="str">
        <x:v>Hafif şap</x:v>
      </x:c>
      <x:c r="D31" s="46" t="str">
        <x:v>GENERIC</x:v>
      </x:c>
      <x:c r="E31" s="46" t="str">
        <x:v>LIGHT</x:v>
      </x:c>
      <x:c r="F31" s="70" t="str">
        <x:v>ENGINEERING_DEFAULT</x:v>
      </x:c>
      <x:c r="G31" s="54" t="n">
        <x:v>60</x:v>
      </x:c>
      <x:c r="H31" s="54" t="n">
        <x:v>1400</x:v>
      </x:c>
      <x:c r="I31" s="74" t="n">
        <x:f>IF(OR(G31="",H31=""),"",G31/1000*H31)</x:f>
        <x:v>84</x:v>
      </x:c>
      <x:c r="J31" s="90" t="n">
        <x:v>8</x:v>
      </x:c>
      <x:c r="K31" s="62" t="n">
        <x:v>0.2</x:v>
      </x:c>
      <x:c r="L31" s="62" t="n">
        <x:v>0.03</x:v>
      </x:c>
      <x:c r="M31" s="54"/>
      <x:c r="N31" s="54"/>
      <x:c r="O31" s="62" t="n">
        <x:v>0.6</x:v>
      </x:c>
      <x:c r="P31" s="46" t="str">
        <x:v>Yüzer veya bağlı şap; sistem koşuluna göre</x:v>
      </x:c>
      <x:c r="Q31" s="46" t="str">
        <x:v>DÜŞÜK-ORTA</x:v>
      </x:c>
      <x:c r="R31" s="46" t="str"/>
      <x:c r="S31" s="50" t="str">
        <x:v>Şap yüzey kütlesi ve elastik tabaka s' değeri yüzer döşeme rezonansını belirler.</x:v>
      </x:c>
    </x:row>
    <x:row r="32">
      <x:c r="A32" s="46" t="str">
        <x:v>FL-SCR-LIGHT-70</x:v>
      </x:c>
      <x:c r="B32" s="46" t="str">
        <x:v>Şap / yüzer plaka</x:v>
      </x:c>
      <x:c r="C32" s="46" t="str">
        <x:v>Hafif şap</x:v>
      </x:c>
      <x:c r="D32" s="46" t="str">
        <x:v>GENERIC</x:v>
      </x:c>
      <x:c r="E32" s="46" t="str">
        <x:v>LIGHT</x:v>
      </x:c>
      <x:c r="F32" s="70" t="str">
        <x:v>ENGINEERING_DEFAULT</x:v>
      </x:c>
      <x:c r="G32" s="54" t="n">
        <x:v>70</x:v>
      </x:c>
      <x:c r="H32" s="54" t="n">
        <x:v>1400</x:v>
      </x:c>
      <x:c r="I32" s="74" t="n">
        <x:f>IF(OR(G32="",H32=""),"",G32/1000*H32)</x:f>
        <x:v>98.00000000000001</x:v>
      </x:c>
      <x:c r="J32" s="90" t="n">
        <x:v>8</x:v>
      </x:c>
      <x:c r="K32" s="62" t="n">
        <x:v>0.2</x:v>
      </x:c>
      <x:c r="L32" s="62" t="n">
        <x:v>0.03</x:v>
      </x:c>
      <x:c r="M32" s="54"/>
      <x:c r="N32" s="54"/>
      <x:c r="O32" s="62" t="n">
        <x:v>0.6</x:v>
      </x:c>
      <x:c r="P32" s="46" t="str">
        <x:v>Yüzer veya bağlı şap; sistem koşuluna göre</x:v>
      </x:c>
      <x:c r="Q32" s="46" t="str">
        <x:v>DÜŞÜK-ORTA</x:v>
      </x:c>
      <x:c r="R32" s="46" t="str"/>
      <x:c r="S32" s="50" t="str">
        <x:v>Şap yüzey kütlesi ve elastik tabaka s' değeri yüzer döşeme rezonansını belirler.</x:v>
      </x:c>
    </x:row>
    <x:row r="33">
      <x:c r="A33" s="46" t="str">
        <x:v>FL-SCR-LIGHT-80</x:v>
      </x:c>
      <x:c r="B33" s="46" t="str">
        <x:v>Şap / yüzer plaka</x:v>
      </x:c>
      <x:c r="C33" s="46" t="str">
        <x:v>Hafif şap</x:v>
      </x:c>
      <x:c r="D33" s="46" t="str">
        <x:v>GENERIC</x:v>
      </x:c>
      <x:c r="E33" s="46" t="str">
        <x:v>LIGHT</x:v>
      </x:c>
      <x:c r="F33" s="70" t="str">
        <x:v>ENGINEERING_DEFAULT</x:v>
      </x:c>
      <x:c r="G33" s="54" t="n">
        <x:v>80</x:v>
      </x:c>
      <x:c r="H33" s="54" t="n">
        <x:v>1400</x:v>
      </x:c>
      <x:c r="I33" s="74" t="n">
        <x:f>IF(OR(G33="",H33=""),"",G33/1000*H33)</x:f>
        <x:v>112</x:v>
      </x:c>
      <x:c r="J33" s="90" t="n">
        <x:v>8</x:v>
      </x:c>
      <x:c r="K33" s="62" t="n">
        <x:v>0.2</x:v>
      </x:c>
      <x:c r="L33" s="62" t="n">
        <x:v>0.03</x:v>
      </x:c>
      <x:c r="M33" s="54"/>
      <x:c r="N33" s="54"/>
      <x:c r="O33" s="62" t="n">
        <x:v>0.6</x:v>
      </x:c>
      <x:c r="P33" s="46" t="str">
        <x:v>Yüzer veya bağlı şap; sistem koşuluna göre</x:v>
      </x:c>
      <x:c r="Q33" s="46" t="str">
        <x:v>DÜŞÜK-ORTA</x:v>
      </x:c>
      <x:c r="R33" s="46" t="str"/>
      <x:c r="S33" s="50" t="str">
        <x:v>Şap yüzey kütlesi ve elastik tabaka s' değeri yüzer döşeme rezonansını belirler.</x:v>
      </x:c>
    </x:row>
    <x:row r="34">
      <x:c r="A34" s="46" t="str">
        <x:v>FL-SCR-DRY-GYPSUM-18</x:v>
      </x:c>
      <x:c r="B34" s="46" t="str">
        <x:v>Şap / yüzer plaka</x:v>
      </x:c>
      <x:c r="C34" s="46" t="str">
        <x:v>Kuru alçı lif şap levhası</x:v>
      </x:c>
      <x:c r="D34" s="46" t="str">
        <x:v>GENERIC</x:v>
      </x:c>
      <x:c r="E34" s="46" t="str">
        <x:v>DRY-GYPSUM</x:v>
      </x:c>
      <x:c r="F34" s="70" t="str">
        <x:v>ENGINEERING_DEFAULT</x:v>
      </x:c>
      <x:c r="G34" s="54" t="n">
        <x:v>18</x:v>
      </x:c>
      <x:c r="H34" s="54" t="n">
        <x:v>1250</x:v>
      </x:c>
      <x:c r="I34" s="74" t="n">
        <x:f>IF(OR(G34="",H34=""),"",G34/1000*H34)</x:f>
        <x:v>22.5</x:v>
      </x:c>
      <x:c r="J34" s="90" t="n">
        <x:v>4</x:v>
      </x:c>
      <x:c r="K34" s="62" t="n">
        <x:v>0.25</x:v>
      </x:c>
      <x:c r="L34" s="62" t="n">
        <x:v>0.03</x:v>
      </x:c>
      <x:c r="M34" s="54"/>
      <x:c r="N34" s="54"/>
      <x:c r="O34" s="62" t="n">
        <x:v>0.32</x:v>
      </x:c>
      <x:c r="P34" s="46" t="str">
        <x:v>Yüzer veya bağlı şap; sistem koşuluna göre</x:v>
      </x:c>
      <x:c r="Q34" s="46" t="str">
        <x:v>DÜŞÜK-ORTA</x:v>
      </x:c>
      <x:c r="R34" s="46" t="str"/>
      <x:c r="S34" s="50" t="str">
        <x:v>Şap yüzey kütlesi ve elastik tabaka s' değeri yüzer döşeme rezonansını belirler.</x:v>
      </x:c>
    </x:row>
    <x:row r="35">
      <x:c r="A35" s="46" t="str">
        <x:v>FL-SCR-DRY-GYPSUM-20</x:v>
      </x:c>
      <x:c r="B35" s="46" t="str">
        <x:v>Şap / yüzer plaka</x:v>
      </x:c>
      <x:c r="C35" s="46" t="str">
        <x:v>Kuru alçı lif şap levhası</x:v>
      </x:c>
      <x:c r="D35" s="46" t="str">
        <x:v>GENERIC</x:v>
      </x:c>
      <x:c r="E35" s="46" t="str">
        <x:v>DRY-GYPSUM</x:v>
      </x:c>
      <x:c r="F35" s="70" t="str">
        <x:v>ENGINEERING_DEFAULT</x:v>
      </x:c>
      <x:c r="G35" s="54" t="n">
        <x:v>20</x:v>
      </x:c>
      <x:c r="H35" s="54" t="n">
        <x:v>1250</x:v>
      </x:c>
      <x:c r="I35" s="74" t="n">
        <x:f>IF(OR(G35="",H35=""),"",G35/1000*H35)</x:f>
        <x:v>25</x:v>
      </x:c>
      <x:c r="J35" s="90" t="n">
        <x:v>4</x:v>
      </x:c>
      <x:c r="K35" s="62" t="n">
        <x:v>0.25</x:v>
      </x:c>
      <x:c r="L35" s="62" t="n">
        <x:v>0.03</x:v>
      </x:c>
      <x:c r="M35" s="54"/>
      <x:c r="N35" s="54"/>
      <x:c r="O35" s="62" t="n">
        <x:v>0.32</x:v>
      </x:c>
      <x:c r="P35" s="46" t="str">
        <x:v>Yüzer veya bağlı şap; sistem koşuluna göre</x:v>
      </x:c>
      <x:c r="Q35" s="46" t="str">
        <x:v>DÜŞÜK-ORTA</x:v>
      </x:c>
      <x:c r="R35" s="46" t="str"/>
      <x:c r="S35" s="50" t="str">
        <x:v>Şap yüzey kütlesi ve elastik tabaka s' değeri yüzer döşeme rezonansını belirler.</x:v>
      </x:c>
    </x:row>
    <x:row r="36">
      <x:c r="A36" s="46" t="str">
        <x:v>FL-SCR-DRY-GYPSUM-23</x:v>
      </x:c>
      <x:c r="B36" s="46" t="str">
        <x:v>Şap / yüzer plaka</x:v>
      </x:c>
      <x:c r="C36" s="46" t="str">
        <x:v>Kuru alçı lif şap levhası</x:v>
      </x:c>
      <x:c r="D36" s="46" t="str">
        <x:v>GENERIC</x:v>
      </x:c>
      <x:c r="E36" s="46" t="str">
        <x:v>DRY-GYPSUM</x:v>
      </x:c>
      <x:c r="F36" s="70" t="str">
        <x:v>ENGINEERING_DEFAULT</x:v>
      </x:c>
      <x:c r="G36" s="54" t="n">
        <x:v>23</x:v>
      </x:c>
      <x:c r="H36" s="54" t="n">
        <x:v>1250</x:v>
      </x:c>
      <x:c r="I36" s="74" t="n">
        <x:f>IF(OR(G36="",H36=""),"",G36/1000*H36)</x:f>
        <x:v>28.75</x:v>
      </x:c>
      <x:c r="J36" s="90" t="n">
        <x:v>4</x:v>
      </x:c>
      <x:c r="K36" s="62" t="n">
        <x:v>0.25</x:v>
      </x:c>
      <x:c r="L36" s="62" t="n">
        <x:v>0.03</x:v>
      </x:c>
      <x:c r="M36" s="54"/>
      <x:c r="N36" s="54"/>
      <x:c r="O36" s="62" t="n">
        <x:v>0.32</x:v>
      </x:c>
      <x:c r="P36" s="46" t="str">
        <x:v>Yüzer veya bağlı şap; sistem koşuluna göre</x:v>
      </x:c>
      <x:c r="Q36" s="46" t="str">
        <x:v>DÜŞÜK-ORTA</x:v>
      </x:c>
      <x:c r="R36" s="46" t="str"/>
      <x:c r="S36" s="50" t="str">
        <x:v>Şap yüzey kütlesi ve elastik tabaka s' değeri yüzer döşeme rezonansını belirler.</x:v>
      </x:c>
    </x:row>
    <x:row r="37">
      <x:c r="A37" s="46" t="str">
        <x:v>FL-SCR-DRY-GYPSUM-25</x:v>
      </x:c>
      <x:c r="B37" s="46" t="str">
        <x:v>Şap / yüzer plaka</x:v>
      </x:c>
      <x:c r="C37" s="46" t="str">
        <x:v>Kuru alçı lif şap levhası</x:v>
      </x:c>
      <x:c r="D37" s="46" t="str">
        <x:v>GENERIC</x:v>
      </x:c>
      <x:c r="E37" s="46" t="str">
        <x:v>DRY-GYPSUM</x:v>
      </x:c>
      <x:c r="F37" s="70" t="str">
        <x:v>ENGINEERING_DEFAULT</x:v>
      </x:c>
      <x:c r="G37" s="54" t="n">
        <x:v>25</x:v>
      </x:c>
      <x:c r="H37" s="54" t="n">
        <x:v>1250</x:v>
      </x:c>
      <x:c r="I37" s="74" t="n">
        <x:f>IF(OR(G37="",H37=""),"",G37/1000*H37)</x:f>
        <x:v>31.25</x:v>
      </x:c>
      <x:c r="J37" s="90" t="n">
        <x:v>4</x:v>
      </x:c>
      <x:c r="K37" s="62" t="n">
        <x:v>0.25</x:v>
      </x:c>
      <x:c r="L37" s="62" t="n">
        <x:v>0.03</x:v>
      </x:c>
      <x:c r="M37" s="54"/>
      <x:c r="N37" s="54"/>
      <x:c r="O37" s="62" t="n">
        <x:v>0.32</x:v>
      </x:c>
      <x:c r="P37" s="46" t="str">
        <x:v>Yüzer veya bağlı şap; sistem koşuluna göre</x:v>
      </x:c>
      <x:c r="Q37" s="46" t="str">
        <x:v>DÜŞÜK-ORTA</x:v>
      </x:c>
      <x:c r="R37" s="46" t="str"/>
      <x:c r="S37" s="50" t="str">
        <x:v>Şap yüzey kütlesi ve elastik tabaka s' değeri yüzer döşeme rezonansını belirler.</x:v>
      </x:c>
    </x:row>
    <x:row r="38">
      <x:c r="A38" s="46" t="str">
        <x:v>FL-SCR-DRY-GYPSUM-30</x:v>
      </x:c>
      <x:c r="B38" s="46" t="str">
        <x:v>Şap / yüzer plaka</x:v>
      </x:c>
      <x:c r="C38" s="46" t="str">
        <x:v>Kuru alçı lif şap levhası</x:v>
      </x:c>
      <x:c r="D38" s="46" t="str">
        <x:v>GENERIC</x:v>
      </x:c>
      <x:c r="E38" s="46" t="str">
        <x:v>DRY-GYPSUM</x:v>
      </x:c>
      <x:c r="F38" s="70" t="str">
        <x:v>ENGINEERING_DEFAULT</x:v>
      </x:c>
      <x:c r="G38" s="54" t="n">
        <x:v>30</x:v>
      </x:c>
      <x:c r="H38" s="54" t="n">
        <x:v>1250</x:v>
      </x:c>
      <x:c r="I38" s="74" t="n">
        <x:f>IF(OR(G38="",H38=""),"",G38/1000*H38)</x:f>
        <x:v>37.5</x:v>
      </x:c>
      <x:c r="J38" s="90" t="n">
        <x:v>4</x:v>
      </x:c>
      <x:c r="K38" s="62" t="n">
        <x:v>0.25</x:v>
      </x:c>
      <x:c r="L38" s="62" t="n">
        <x:v>0.03</x:v>
      </x:c>
      <x:c r="M38" s="54"/>
      <x:c r="N38" s="54"/>
      <x:c r="O38" s="62" t="n">
        <x:v>0.32</x:v>
      </x:c>
      <x:c r="P38" s="46" t="str">
        <x:v>Yüzer veya bağlı şap; sistem koşuluna göre</x:v>
      </x:c>
      <x:c r="Q38" s="46" t="str">
        <x:v>DÜŞÜK-ORTA</x:v>
      </x:c>
      <x:c r="R38" s="46" t="str"/>
      <x:c r="S38" s="50" t="str">
        <x:v>Şap yüzey kütlesi ve elastik tabaka s' değeri yüzer döşeme rezonansını belirler.</x:v>
      </x:c>
    </x:row>
    <x:row r="39">
      <x:c r="A39" s="46" t="str">
        <x:v>FL-FIN-OSB-12</x:v>
      </x:c>
      <x:c r="B39" s="46" t="str">
        <x:v>Zemin kaplaması / levha</x:v>
      </x:c>
      <x:c r="C39" s="46" t="str">
        <x:v>OSB/3 döşeme levhası</x:v>
      </x:c>
      <x:c r="D39" s="46" t="str">
        <x:v>GENERIC</x:v>
      </x:c>
      <x:c r="E39" s="46" t="str">
        <x:v>OSB</x:v>
      </x:c>
      <x:c r="F39" s="70" t="str">
        <x:v>ENGINEERING_DEFAULT</x:v>
      </x:c>
      <x:c r="G39" s="54" t="n">
        <x:v>12</x:v>
      </x:c>
      <x:c r="H39" s="54" t="n">
        <x:v>650</x:v>
      </x:c>
      <x:c r="I39" s="74" t="n">
        <x:f>IF(OR(G39="",H39=""),"",G39/1000*H39)</x:f>
        <x:v>7.8</x:v>
      </x:c>
      <x:c r="J39" s="90" t="n">
        <x:v>4</x:v>
      </x:c>
      <x:c r="K39" s="62" t="n">
        <x:v>0.3</x:v>
      </x:c>
      <x:c r="L39" s="62" t="n">
        <x:v>0.03</x:v>
      </x:c>
      <x:c r="M39" s="54"/>
      <x:c r="N39" s="54"/>
      <x:c r="O39" s="62" t="n">
        <x:v>0.13</x:v>
      </x:c>
      <x:c r="P39" s="46" t="str">
        <x:v>Üst kaplama veya kuru sistem levhası</x:v>
      </x:c>
      <x:c r="Q39" s="46" t="str">
        <x:v>DÜŞÜK-ORTA</x:v>
      </x:c>
      <x:c r="R39" s="46" t="str"/>
      <x:c r="S39" s="50" t="str">
        <x:v>Kaplama ΔLw değeri yalnız standart referans döşeme üzerinde test edilirse aktarılabilir.</x:v>
      </x:c>
    </x:row>
    <x:row r="40">
      <x:c r="A40" s="46" t="str">
        <x:v>FL-FIN-OSB-15</x:v>
      </x:c>
      <x:c r="B40" s="46" t="str">
        <x:v>Zemin kaplaması / levha</x:v>
      </x:c>
      <x:c r="C40" s="46" t="str">
        <x:v>OSB/3 döşeme levhası</x:v>
      </x:c>
      <x:c r="D40" s="46" t="str">
        <x:v>GENERIC</x:v>
      </x:c>
      <x:c r="E40" s="46" t="str">
        <x:v>OSB</x:v>
      </x:c>
      <x:c r="F40" s="70" t="str">
        <x:v>ENGINEERING_DEFAULT</x:v>
      </x:c>
      <x:c r="G40" s="54" t="n">
        <x:v>15</x:v>
      </x:c>
      <x:c r="H40" s="54" t="n">
        <x:v>650</x:v>
      </x:c>
      <x:c r="I40" s="74" t="n">
        <x:f>IF(OR(G40="",H40=""),"",G40/1000*H40)</x:f>
        <x:v>9.75</x:v>
      </x:c>
      <x:c r="J40" s="90" t="n">
        <x:v>4</x:v>
      </x:c>
      <x:c r="K40" s="62" t="n">
        <x:v>0.3</x:v>
      </x:c>
      <x:c r="L40" s="62" t="n">
        <x:v>0.03</x:v>
      </x:c>
      <x:c r="M40" s="54"/>
      <x:c r="N40" s="54"/>
      <x:c r="O40" s="62" t="n">
        <x:v>0.13</x:v>
      </x:c>
      <x:c r="P40" s="46" t="str">
        <x:v>Üst kaplama veya kuru sistem levhası</x:v>
      </x:c>
      <x:c r="Q40" s="46" t="str">
        <x:v>DÜŞÜK-ORTA</x:v>
      </x:c>
      <x:c r="R40" s="46" t="str"/>
      <x:c r="S40" s="50" t="str">
        <x:v>Kaplama ΔLw değeri yalnız standart referans döşeme üzerinde test edilirse aktarılabilir.</x:v>
      </x:c>
    </x:row>
    <x:row r="41">
      <x:c r="A41" s="46" t="str">
        <x:v>FL-FIN-OSB-18</x:v>
      </x:c>
      <x:c r="B41" s="46" t="str">
        <x:v>Zemin kaplaması / levha</x:v>
      </x:c>
      <x:c r="C41" s="46" t="str">
        <x:v>OSB/3 döşeme levhası</x:v>
      </x:c>
      <x:c r="D41" s="46" t="str">
        <x:v>GENERIC</x:v>
      </x:c>
      <x:c r="E41" s="46" t="str">
        <x:v>OSB</x:v>
      </x:c>
      <x:c r="F41" s="70" t="str">
        <x:v>ENGINEERING_DEFAULT</x:v>
      </x:c>
      <x:c r="G41" s="54" t="n">
        <x:v>18</x:v>
      </x:c>
      <x:c r="H41" s="54" t="n">
        <x:v>650</x:v>
      </x:c>
      <x:c r="I41" s="74" t="n">
        <x:f>IF(OR(G41="",H41=""),"",G41/1000*H41)</x:f>
        <x:v>11.7</x:v>
      </x:c>
      <x:c r="J41" s="90" t="n">
        <x:v>4</x:v>
      </x:c>
      <x:c r="K41" s="62" t="n">
        <x:v>0.3</x:v>
      </x:c>
      <x:c r="L41" s="62" t="n">
        <x:v>0.03</x:v>
      </x:c>
      <x:c r="M41" s="54"/>
      <x:c r="N41" s="54"/>
      <x:c r="O41" s="62" t="n">
        <x:v>0.13</x:v>
      </x:c>
      <x:c r="P41" s="46" t="str">
        <x:v>Üst kaplama veya kuru sistem levhası</x:v>
      </x:c>
      <x:c r="Q41" s="46" t="str">
        <x:v>DÜŞÜK-ORTA</x:v>
      </x:c>
      <x:c r="R41" s="46" t="str"/>
      <x:c r="S41" s="50" t="str">
        <x:v>Kaplama ΔLw değeri yalnız standart referans döşeme üzerinde test edilirse aktarılabilir.</x:v>
      </x:c>
    </x:row>
    <x:row r="42">
      <x:c r="A42" s="46" t="str">
        <x:v>FL-FIN-OSB-22</x:v>
      </x:c>
      <x:c r="B42" s="46" t="str">
        <x:v>Zemin kaplaması / levha</x:v>
      </x:c>
      <x:c r="C42" s="46" t="str">
        <x:v>OSB/3 döşeme levhası</x:v>
      </x:c>
      <x:c r="D42" s="46" t="str">
        <x:v>GENERIC</x:v>
      </x:c>
      <x:c r="E42" s="46" t="str">
        <x:v>OSB</x:v>
      </x:c>
      <x:c r="F42" s="70" t="str">
        <x:v>ENGINEERING_DEFAULT</x:v>
      </x:c>
      <x:c r="G42" s="54" t="n">
        <x:v>22</x:v>
      </x:c>
      <x:c r="H42" s="54" t="n">
        <x:v>650</x:v>
      </x:c>
      <x:c r="I42" s="74" t="n">
        <x:f>IF(OR(G42="",H42=""),"",G42/1000*H42)</x:f>
        <x:v>14.299999999999999</x:v>
      </x:c>
      <x:c r="J42" s="90" t="n">
        <x:v>4</x:v>
      </x:c>
      <x:c r="K42" s="62" t="n">
        <x:v>0.3</x:v>
      </x:c>
      <x:c r="L42" s="62" t="n">
        <x:v>0.03</x:v>
      </x:c>
      <x:c r="M42" s="54"/>
      <x:c r="N42" s="54"/>
      <x:c r="O42" s="62" t="n">
        <x:v>0.13</x:v>
      </x:c>
      <x:c r="P42" s="46" t="str">
        <x:v>Üst kaplama veya kuru sistem levhası</x:v>
      </x:c>
      <x:c r="Q42" s="46" t="str">
        <x:v>DÜŞÜK-ORTA</x:v>
      </x:c>
      <x:c r="R42" s="46" t="str"/>
      <x:c r="S42" s="50" t="str">
        <x:v>Kaplama ΔLw değeri yalnız standart referans döşeme üzerinde test edilirse aktarılabilir.</x:v>
      </x:c>
    </x:row>
    <x:row r="43">
      <x:c r="A43" s="46" t="str">
        <x:v>FL-FIN-OSB-25</x:v>
      </x:c>
      <x:c r="B43" s="46" t="str">
        <x:v>Zemin kaplaması / levha</x:v>
      </x:c>
      <x:c r="C43" s="46" t="str">
        <x:v>OSB/3 döşeme levhası</x:v>
      </x:c>
      <x:c r="D43" s="46" t="str">
        <x:v>GENERIC</x:v>
      </x:c>
      <x:c r="E43" s="46" t="str">
        <x:v>OSB</x:v>
      </x:c>
      <x:c r="F43" s="70" t="str">
        <x:v>ENGINEERING_DEFAULT</x:v>
      </x:c>
      <x:c r="G43" s="54" t="n">
        <x:v>25</x:v>
      </x:c>
      <x:c r="H43" s="54" t="n">
        <x:v>650</x:v>
      </x:c>
      <x:c r="I43" s="74" t="n">
        <x:f>IF(OR(G43="",H43=""),"",G43/1000*H43)</x:f>
        <x:v>16.25</x:v>
      </x:c>
      <x:c r="J43" s="90" t="n">
        <x:v>4</x:v>
      </x:c>
      <x:c r="K43" s="62" t="n">
        <x:v>0.3</x:v>
      </x:c>
      <x:c r="L43" s="62" t="n">
        <x:v>0.03</x:v>
      </x:c>
      <x:c r="M43" s="54"/>
      <x:c r="N43" s="54"/>
      <x:c r="O43" s="62" t="n">
        <x:v>0.13</x:v>
      </x:c>
      <x:c r="P43" s="46" t="str">
        <x:v>Üst kaplama veya kuru sistem levhası</x:v>
      </x:c>
      <x:c r="Q43" s="46" t="str">
        <x:v>DÜŞÜK-ORTA</x:v>
      </x:c>
      <x:c r="R43" s="46" t="str"/>
      <x:c r="S43" s="50" t="str">
        <x:v>Kaplama ΔLw değeri yalnız standart referans döşeme üzerinde test edilirse aktarılabilir.</x:v>
      </x:c>
    </x:row>
    <x:row r="44">
      <x:c r="A44" s="46" t="str">
        <x:v>FL-FIN-PLY-9</x:v>
      </x:c>
      <x:c r="B44" s="46" t="str">
        <x:v>Zemin kaplaması / levha</x:v>
      </x:c>
      <x:c r="C44" s="46" t="str">
        <x:v>Kontrplak</x:v>
      </x:c>
      <x:c r="D44" s="46" t="str">
        <x:v>GENERIC</x:v>
      </x:c>
      <x:c r="E44" s="46" t="str">
        <x:v>PLY</x:v>
      </x:c>
      <x:c r="F44" s="70" t="str">
        <x:v>ENGINEERING_DEFAULT</x:v>
      </x:c>
      <x:c r="G44" s="54" t="n">
        <x:v>9</x:v>
      </x:c>
      <x:c r="H44" s="54" t="n">
        <x:v>600</x:v>
      </x:c>
      <x:c r="I44" s="74" t="n">
        <x:f>IF(OR(G44="",H44=""),"",G44/1000*H44)</x:f>
        <x:v>5.3999999999999995</x:v>
      </x:c>
      <x:c r="J44" s="90" t="n">
        <x:v>6</x:v>
      </x:c>
      <x:c r="K44" s="62" t="n">
        <x:v>0.3</x:v>
      </x:c>
      <x:c r="L44" s="62" t="n">
        <x:v>0.025</x:v>
      </x:c>
      <x:c r="M44" s="54"/>
      <x:c r="N44" s="54"/>
      <x:c r="O44" s="62" t="n">
        <x:v>0.13</x:v>
      </x:c>
      <x:c r="P44" s="46" t="str">
        <x:v>Üst kaplama veya kuru sistem levhası</x:v>
      </x:c>
      <x:c r="Q44" s="46" t="str">
        <x:v>DÜŞÜK-ORTA</x:v>
      </x:c>
      <x:c r="R44" s="46" t="str"/>
      <x:c r="S44" s="50" t="str">
        <x:v>Kaplama ΔLw değeri yalnız standart referans döşeme üzerinde test edilirse aktarılabilir.</x:v>
      </x:c>
    </x:row>
    <x:row r="45">
      <x:c r="A45" s="46" t="str">
        <x:v>FL-FIN-PLY-12</x:v>
      </x:c>
      <x:c r="B45" s="46" t="str">
        <x:v>Zemin kaplaması / levha</x:v>
      </x:c>
      <x:c r="C45" s="46" t="str">
        <x:v>Kontrplak</x:v>
      </x:c>
      <x:c r="D45" s="46" t="str">
        <x:v>GENERIC</x:v>
      </x:c>
      <x:c r="E45" s="46" t="str">
        <x:v>PLY</x:v>
      </x:c>
      <x:c r="F45" s="70" t="str">
        <x:v>ENGINEERING_DEFAULT</x:v>
      </x:c>
      <x:c r="G45" s="54" t="n">
        <x:v>12</x:v>
      </x:c>
      <x:c r="H45" s="54" t="n">
        <x:v>600</x:v>
      </x:c>
      <x:c r="I45" s="74" t="n">
        <x:f>IF(OR(G45="",H45=""),"",G45/1000*H45)</x:f>
        <x:v>7.2</x:v>
      </x:c>
      <x:c r="J45" s="90" t="n">
        <x:v>6</x:v>
      </x:c>
      <x:c r="K45" s="62" t="n">
        <x:v>0.3</x:v>
      </x:c>
      <x:c r="L45" s="62" t="n">
        <x:v>0.025</x:v>
      </x:c>
      <x:c r="M45" s="54"/>
      <x:c r="N45" s="54"/>
      <x:c r="O45" s="62" t="n">
        <x:v>0.13</x:v>
      </x:c>
      <x:c r="P45" s="46" t="str">
        <x:v>Üst kaplama veya kuru sistem levhası</x:v>
      </x:c>
      <x:c r="Q45" s="46" t="str">
        <x:v>DÜŞÜK-ORTA</x:v>
      </x:c>
      <x:c r="R45" s="46" t="str"/>
      <x:c r="S45" s="50" t="str">
        <x:v>Kaplama ΔLw değeri yalnız standart referans döşeme üzerinde test edilirse aktarılabilir.</x:v>
      </x:c>
    </x:row>
    <x:row r="46">
      <x:c r="A46" s="46" t="str">
        <x:v>FL-FIN-PLY-15</x:v>
      </x:c>
      <x:c r="B46" s="46" t="str">
        <x:v>Zemin kaplaması / levha</x:v>
      </x:c>
      <x:c r="C46" s="46" t="str">
        <x:v>Kontrplak</x:v>
      </x:c>
      <x:c r="D46" s="46" t="str">
        <x:v>GENERIC</x:v>
      </x:c>
      <x:c r="E46" s="46" t="str">
        <x:v>PLY</x:v>
      </x:c>
      <x:c r="F46" s="70" t="str">
        <x:v>ENGINEERING_DEFAULT</x:v>
      </x:c>
      <x:c r="G46" s="54" t="n">
        <x:v>15</x:v>
      </x:c>
      <x:c r="H46" s="54" t="n">
        <x:v>600</x:v>
      </x:c>
      <x:c r="I46" s="74" t="n">
        <x:f>IF(OR(G46="",H46=""),"",G46/1000*H46)</x:f>
        <x:v>9</x:v>
      </x:c>
      <x:c r="J46" s="90" t="n">
        <x:v>6</x:v>
      </x:c>
      <x:c r="K46" s="62" t="n">
        <x:v>0.3</x:v>
      </x:c>
      <x:c r="L46" s="62" t="n">
        <x:v>0.025</x:v>
      </x:c>
      <x:c r="M46" s="54"/>
      <x:c r="N46" s="54"/>
      <x:c r="O46" s="62" t="n">
        <x:v>0.13</x:v>
      </x:c>
      <x:c r="P46" s="46" t="str">
        <x:v>Üst kaplama veya kuru sistem levhası</x:v>
      </x:c>
      <x:c r="Q46" s="46" t="str">
        <x:v>DÜŞÜK-ORTA</x:v>
      </x:c>
      <x:c r="R46" s="46" t="str"/>
      <x:c r="S46" s="50" t="str">
        <x:v>Kaplama ΔLw değeri yalnız standart referans döşeme üzerinde test edilirse aktarılabilir.</x:v>
      </x:c>
    </x:row>
    <x:row r="47">
      <x:c r="A47" s="46" t="str">
        <x:v>FL-FIN-PLY-18</x:v>
      </x:c>
      <x:c r="B47" s="46" t="str">
        <x:v>Zemin kaplaması / levha</x:v>
      </x:c>
      <x:c r="C47" s="46" t="str">
        <x:v>Kontrplak</x:v>
      </x:c>
      <x:c r="D47" s="46" t="str">
        <x:v>GENERIC</x:v>
      </x:c>
      <x:c r="E47" s="46" t="str">
        <x:v>PLY</x:v>
      </x:c>
      <x:c r="F47" s="70" t="str">
        <x:v>ENGINEERING_DEFAULT</x:v>
      </x:c>
      <x:c r="G47" s="54" t="n">
        <x:v>18</x:v>
      </x:c>
      <x:c r="H47" s="54" t="n">
        <x:v>600</x:v>
      </x:c>
      <x:c r="I47" s="74" t="n">
        <x:f>IF(OR(G47="",H47=""),"",G47/1000*H47)</x:f>
        <x:v>10.799999999999999</x:v>
      </x:c>
      <x:c r="J47" s="90" t="n">
        <x:v>6</x:v>
      </x:c>
      <x:c r="K47" s="62" t="n">
        <x:v>0.3</x:v>
      </x:c>
      <x:c r="L47" s="62" t="n">
        <x:v>0.025</x:v>
      </x:c>
      <x:c r="M47" s="54"/>
      <x:c r="N47" s="54"/>
      <x:c r="O47" s="62" t="n">
        <x:v>0.13</x:v>
      </x:c>
      <x:c r="P47" s="46" t="str">
        <x:v>Üst kaplama veya kuru sistem levhası</x:v>
      </x:c>
      <x:c r="Q47" s="46" t="str">
        <x:v>DÜŞÜK-ORTA</x:v>
      </x:c>
      <x:c r="R47" s="46" t="str"/>
      <x:c r="S47" s="50" t="str">
        <x:v>Kaplama ΔLw değeri yalnız standart referans döşeme üzerinde test edilirse aktarılabilir.</x:v>
      </x:c>
    </x:row>
    <x:row r="48">
      <x:c r="A48" s="46" t="str">
        <x:v>FL-FIN-PLY-21</x:v>
      </x:c>
      <x:c r="B48" s="46" t="str">
        <x:v>Zemin kaplaması / levha</x:v>
      </x:c>
      <x:c r="C48" s="46" t="str">
        <x:v>Kontrplak</x:v>
      </x:c>
      <x:c r="D48" s="46" t="str">
        <x:v>GENERIC</x:v>
      </x:c>
      <x:c r="E48" s="46" t="str">
        <x:v>PLY</x:v>
      </x:c>
      <x:c r="F48" s="70" t="str">
        <x:v>ENGINEERING_DEFAULT</x:v>
      </x:c>
      <x:c r="G48" s="54" t="n">
        <x:v>21</x:v>
      </x:c>
      <x:c r="H48" s="54" t="n">
        <x:v>600</x:v>
      </x:c>
      <x:c r="I48" s="74" t="n">
        <x:f>IF(OR(G48="",H48=""),"",G48/1000*H48)</x:f>
        <x:v>12.600000000000001</x:v>
      </x:c>
      <x:c r="J48" s="90" t="n">
        <x:v>6</x:v>
      </x:c>
      <x:c r="K48" s="62" t="n">
        <x:v>0.3</x:v>
      </x:c>
      <x:c r="L48" s="62" t="n">
        <x:v>0.025</x:v>
      </x:c>
      <x:c r="M48" s="54"/>
      <x:c r="N48" s="54"/>
      <x:c r="O48" s="62" t="n">
        <x:v>0.13</x:v>
      </x:c>
      <x:c r="P48" s="46" t="str">
        <x:v>Üst kaplama veya kuru sistem levhası</x:v>
      </x:c>
      <x:c r="Q48" s="46" t="str">
        <x:v>DÜŞÜK-ORTA</x:v>
      </x:c>
      <x:c r="R48" s="46" t="str"/>
      <x:c r="S48" s="50" t="str">
        <x:v>Kaplama ΔLw değeri yalnız standart referans döşeme üzerinde test edilirse aktarılabilir.</x:v>
      </x:c>
    </x:row>
    <x:row r="49">
      <x:c r="A49" s="46" t="str">
        <x:v>FL-FIN-GYF-18</x:v>
      </x:c>
      <x:c r="B49" s="46" t="str">
        <x:v>Zemin kaplaması / levha</x:v>
      </x:c>
      <x:c r="C49" s="46" t="str">
        <x:v>Alçı lif döşeme levhası</x:v>
      </x:c>
      <x:c r="D49" s="46" t="str">
        <x:v>GENERIC</x:v>
      </x:c>
      <x:c r="E49" s="46" t="str">
        <x:v>GYF</x:v>
      </x:c>
      <x:c r="F49" s="70" t="str">
        <x:v>ENGINEERING_DEFAULT</x:v>
      </x:c>
      <x:c r="G49" s="54" t="n">
        <x:v>18</x:v>
      </x:c>
      <x:c r="H49" s="54" t="n">
        <x:v>1250</x:v>
      </x:c>
      <x:c r="I49" s="74" t="n">
        <x:f>IF(OR(G49="",H49=""),"",G49/1000*H49)</x:f>
        <x:v>22.5</x:v>
      </x:c>
      <x:c r="J49" s="90" t="n">
        <x:v>4</x:v>
      </x:c>
      <x:c r="K49" s="62" t="n">
        <x:v>0.25</x:v>
      </x:c>
      <x:c r="L49" s="62" t="n">
        <x:v>0.03</x:v>
      </x:c>
      <x:c r="M49" s="54"/>
      <x:c r="N49" s="54"/>
      <x:c r="O49" s="62" t="n">
        <x:v>0.32</x:v>
      </x:c>
      <x:c r="P49" s="46" t="str">
        <x:v>Üst kaplama veya kuru sistem levhası</x:v>
      </x:c>
      <x:c r="Q49" s="46" t="str">
        <x:v>DÜŞÜK-ORTA</x:v>
      </x:c>
      <x:c r="R49" s="46" t="str"/>
      <x:c r="S49" s="50" t="str">
        <x:v>Kaplama ΔLw değeri yalnız standart referans döşeme üzerinde test edilirse aktarılabilir.</x:v>
      </x:c>
    </x:row>
    <x:row r="50">
      <x:c r="A50" s="46" t="str">
        <x:v>FL-FIN-GYF-20</x:v>
      </x:c>
      <x:c r="B50" s="46" t="str">
        <x:v>Zemin kaplaması / levha</x:v>
      </x:c>
      <x:c r="C50" s="46" t="str">
        <x:v>Alçı lif döşeme levhası</x:v>
      </x:c>
      <x:c r="D50" s="46" t="str">
        <x:v>GENERIC</x:v>
      </x:c>
      <x:c r="E50" s="46" t="str">
        <x:v>GYF</x:v>
      </x:c>
      <x:c r="F50" s="70" t="str">
        <x:v>ENGINEERING_DEFAULT</x:v>
      </x:c>
      <x:c r="G50" s="54" t="n">
        <x:v>20</x:v>
      </x:c>
      <x:c r="H50" s="54" t="n">
        <x:v>1250</x:v>
      </x:c>
      <x:c r="I50" s="74" t="n">
        <x:f>IF(OR(G50="",H50=""),"",G50/1000*H50)</x:f>
        <x:v>25</x:v>
      </x:c>
      <x:c r="J50" s="90" t="n">
        <x:v>4</x:v>
      </x:c>
      <x:c r="K50" s="62" t="n">
        <x:v>0.25</x:v>
      </x:c>
      <x:c r="L50" s="62" t="n">
        <x:v>0.03</x:v>
      </x:c>
      <x:c r="M50" s="54"/>
      <x:c r="N50" s="54"/>
      <x:c r="O50" s="62" t="n">
        <x:v>0.32</x:v>
      </x:c>
      <x:c r="P50" s="46" t="str">
        <x:v>Üst kaplama veya kuru sistem levhası</x:v>
      </x:c>
      <x:c r="Q50" s="46" t="str">
        <x:v>DÜŞÜK-ORTA</x:v>
      </x:c>
      <x:c r="R50" s="46" t="str"/>
      <x:c r="S50" s="50" t="str">
        <x:v>Kaplama ΔLw değeri yalnız standart referans döşeme üzerinde test edilirse aktarılabilir.</x:v>
      </x:c>
    </x:row>
    <x:row r="51">
      <x:c r="A51" s="46" t="str">
        <x:v>FL-FIN-GYF-23</x:v>
      </x:c>
      <x:c r="B51" s="46" t="str">
        <x:v>Zemin kaplaması / levha</x:v>
      </x:c>
      <x:c r="C51" s="46" t="str">
        <x:v>Alçı lif döşeme levhası</x:v>
      </x:c>
      <x:c r="D51" s="46" t="str">
        <x:v>GENERIC</x:v>
      </x:c>
      <x:c r="E51" s="46" t="str">
        <x:v>GYF</x:v>
      </x:c>
      <x:c r="F51" s="70" t="str">
        <x:v>ENGINEERING_DEFAULT</x:v>
      </x:c>
      <x:c r="G51" s="54" t="n">
        <x:v>23</x:v>
      </x:c>
      <x:c r="H51" s="54" t="n">
        <x:v>1250</x:v>
      </x:c>
      <x:c r="I51" s="74" t="n">
        <x:f>IF(OR(G51="",H51=""),"",G51/1000*H51)</x:f>
        <x:v>28.75</x:v>
      </x:c>
      <x:c r="J51" s="90" t="n">
        <x:v>4</x:v>
      </x:c>
      <x:c r="K51" s="62" t="n">
        <x:v>0.25</x:v>
      </x:c>
      <x:c r="L51" s="62" t="n">
        <x:v>0.03</x:v>
      </x:c>
      <x:c r="M51" s="54"/>
      <x:c r="N51" s="54"/>
      <x:c r="O51" s="62" t="n">
        <x:v>0.32</x:v>
      </x:c>
      <x:c r="P51" s="46" t="str">
        <x:v>Üst kaplama veya kuru sistem levhası</x:v>
      </x:c>
      <x:c r="Q51" s="46" t="str">
        <x:v>DÜŞÜK-ORTA</x:v>
      </x:c>
      <x:c r="R51" s="46" t="str"/>
      <x:c r="S51" s="50" t="str">
        <x:v>Kaplama ΔLw değeri yalnız standart referans döşeme üzerinde test edilirse aktarılabilir.</x:v>
      </x:c>
    </x:row>
    <x:row r="52">
      <x:c r="A52" s="46" t="str">
        <x:v>FL-FIN-GYF-25</x:v>
      </x:c>
      <x:c r="B52" s="46" t="str">
        <x:v>Zemin kaplaması / levha</x:v>
      </x:c>
      <x:c r="C52" s="46" t="str">
        <x:v>Alçı lif döşeme levhası</x:v>
      </x:c>
      <x:c r="D52" s="46" t="str">
        <x:v>GENERIC</x:v>
      </x:c>
      <x:c r="E52" s="46" t="str">
        <x:v>GYF</x:v>
      </x:c>
      <x:c r="F52" s="70" t="str">
        <x:v>ENGINEERING_DEFAULT</x:v>
      </x:c>
      <x:c r="G52" s="54" t="n">
        <x:v>25</x:v>
      </x:c>
      <x:c r="H52" s="54" t="n">
        <x:v>1250</x:v>
      </x:c>
      <x:c r="I52" s="74" t="n">
        <x:f>IF(OR(G52="",H52=""),"",G52/1000*H52)</x:f>
        <x:v>31.25</x:v>
      </x:c>
      <x:c r="J52" s="90" t="n">
        <x:v>4</x:v>
      </x:c>
      <x:c r="K52" s="62" t="n">
        <x:v>0.25</x:v>
      </x:c>
      <x:c r="L52" s="62" t="n">
        <x:v>0.03</x:v>
      </x:c>
      <x:c r="M52" s="54"/>
      <x:c r="N52" s="54"/>
      <x:c r="O52" s="62" t="n">
        <x:v>0.32</x:v>
      </x:c>
      <x:c r="P52" s="46" t="str">
        <x:v>Üst kaplama veya kuru sistem levhası</x:v>
      </x:c>
      <x:c r="Q52" s="46" t="str">
        <x:v>DÜŞÜK-ORTA</x:v>
      </x:c>
      <x:c r="R52" s="46" t="str"/>
      <x:c r="S52" s="50" t="str">
        <x:v>Kaplama ΔLw değeri yalnız standart referans döşeme üzerinde test edilirse aktarılabilir.</x:v>
      </x:c>
    </x:row>
    <x:row r="53">
      <x:c r="A53" s="46" t="str">
        <x:v>FL-FIN-CERAMIC-8</x:v>
      </x:c>
      <x:c r="B53" s="46" t="str">
        <x:v>Zemin kaplaması / levha</x:v>
      </x:c>
      <x:c r="C53" s="46" t="str">
        <x:v>Seramik karo</x:v>
      </x:c>
      <x:c r="D53" s="46" t="str">
        <x:v>GENERIC</x:v>
      </x:c>
      <x:c r="E53" s="46" t="str">
        <x:v>CERAMIC</x:v>
      </x:c>
      <x:c r="F53" s="70" t="str">
        <x:v>ENGINEERING_DEFAULT</x:v>
      </x:c>
      <x:c r="G53" s="54" t="n">
        <x:v>8</x:v>
      </x:c>
      <x:c r="H53" s="54" t="n">
        <x:v>2300</x:v>
      </x:c>
      <x:c r="I53" s="74" t="n">
        <x:f>IF(OR(G53="",H53=""),"",G53/1000*H53)</x:f>
        <x:v>18.400000000000002</x:v>
      </x:c>
      <x:c r="J53" s="90" t="n">
        <x:v>60</x:v>
      </x:c>
      <x:c r="K53" s="62" t="n">
        <x:v>0.22</x:v>
      </x:c>
      <x:c r="L53" s="62" t="n">
        <x:v>0.01</x:v>
      </x:c>
      <x:c r="M53" s="54"/>
      <x:c r="N53" s="54"/>
      <x:c r="O53" s="62" t="n">
        <x:v>1.2</x:v>
      </x:c>
      <x:c r="P53" s="46" t="str">
        <x:v>Üst kaplama veya kuru sistem levhası</x:v>
      </x:c>
      <x:c r="Q53" s="46" t="str">
        <x:v>DÜŞÜK-ORTA</x:v>
      </x:c>
      <x:c r="R53" s="46" t="str"/>
      <x:c r="S53" s="50" t="str">
        <x:v>Kaplama ΔLw değeri yalnız standart referans döşeme üzerinde test edilirse aktarılabilir.</x:v>
      </x:c>
    </x:row>
    <x:row r="54">
      <x:c r="A54" s="46" t="str">
        <x:v>FL-FIN-CERAMIC-10</x:v>
      </x:c>
      <x:c r="B54" s="46" t="str">
        <x:v>Zemin kaplaması / levha</x:v>
      </x:c>
      <x:c r="C54" s="46" t="str">
        <x:v>Seramik karo</x:v>
      </x:c>
      <x:c r="D54" s="46" t="str">
        <x:v>GENERIC</x:v>
      </x:c>
      <x:c r="E54" s="46" t="str">
        <x:v>CERAMIC</x:v>
      </x:c>
      <x:c r="F54" s="70" t="str">
        <x:v>ENGINEERING_DEFAULT</x:v>
      </x:c>
      <x:c r="G54" s="54" t="n">
        <x:v>10</x:v>
      </x:c>
      <x:c r="H54" s="54" t="n">
        <x:v>2300</x:v>
      </x:c>
      <x:c r="I54" s="74" t="n">
        <x:f>IF(OR(G54="",H54=""),"",G54/1000*H54)</x:f>
        <x:v>23</x:v>
      </x:c>
      <x:c r="J54" s="90" t="n">
        <x:v>60</x:v>
      </x:c>
      <x:c r="K54" s="62" t="n">
        <x:v>0.22</x:v>
      </x:c>
      <x:c r="L54" s="62" t="n">
        <x:v>0.01</x:v>
      </x:c>
      <x:c r="M54" s="54"/>
      <x:c r="N54" s="54"/>
      <x:c r="O54" s="62" t="n">
        <x:v>1.2</x:v>
      </x:c>
      <x:c r="P54" s="46" t="str">
        <x:v>Üst kaplama veya kuru sistem levhası</x:v>
      </x:c>
      <x:c r="Q54" s="46" t="str">
        <x:v>DÜŞÜK-ORTA</x:v>
      </x:c>
      <x:c r="R54" s="46" t="str"/>
      <x:c r="S54" s="50" t="str">
        <x:v>Kaplama ΔLw değeri yalnız standart referans döşeme üzerinde test edilirse aktarılabilir.</x:v>
      </x:c>
    </x:row>
    <x:row r="55">
      <x:c r="A55" s="46" t="str">
        <x:v>FL-FIN-CERAMIC-12</x:v>
      </x:c>
      <x:c r="B55" s="46" t="str">
        <x:v>Zemin kaplaması / levha</x:v>
      </x:c>
      <x:c r="C55" s="46" t="str">
        <x:v>Seramik karo</x:v>
      </x:c>
      <x:c r="D55" s="46" t="str">
        <x:v>GENERIC</x:v>
      </x:c>
      <x:c r="E55" s="46" t="str">
        <x:v>CERAMIC</x:v>
      </x:c>
      <x:c r="F55" s="70" t="str">
        <x:v>ENGINEERING_DEFAULT</x:v>
      </x:c>
      <x:c r="G55" s="54" t="n">
        <x:v>12</x:v>
      </x:c>
      <x:c r="H55" s="54" t="n">
        <x:v>2300</x:v>
      </x:c>
      <x:c r="I55" s="74" t="n">
        <x:f>IF(OR(G55="",H55=""),"",G55/1000*H55)</x:f>
        <x:v>27.6</x:v>
      </x:c>
      <x:c r="J55" s="90" t="n">
        <x:v>60</x:v>
      </x:c>
      <x:c r="K55" s="62" t="n">
        <x:v>0.22</x:v>
      </x:c>
      <x:c r="L55" s="62" t="n">
        <x:v>0.01</x:v>
      </x:c>
      <x:c r="M55" s="54"/>
      <x:c r="N55" s="54"/>
      <x:c r="O55" s="62" t="n">
        <x:v>1.2</x:v>
      </x:c>
      <x:c r="P55" s="46" t="str">
        <x:v>Üst kaplama veya kuru sistem levhası</x:v>
      </x:c>
      <x:c r="Q55" s="46" t="str">
        <x:v>DÜŞÜK-ORTA</x:v>
      </x:c>
      <x:c r="R55" s="46" t="str"/>
      <x:c r="S55" s="50" t="str">
        <x:v>Kaplama ΔLw değeri yalnız standart referans döşeme üzerinde test edilirse aktarılabilir.</x:v>
      </x:c>
    </x:row>
    <x:row r="56">
      <x:c r="A56" s="46" t="str">
        <x:v>FL-FIN-PORCELAIN-8</x:v>
      </x:c>
      <x:c r="B56" s="46" t="str">
        <x:v>Zemin kaplaması / levha</x:v>
      </x:c>
      <x:c r="C56" s="46" t="str">
        <x:v>Porselen karo</x:v>
      </x:c>
      <x:c r="D56" s="46" t="str">
        <x:v>GENERIC</x:v>
      </x:c>
      <x:c r="E56" s="46" t="str">
        <x:v>PORCELAIN</x:v>
      </x:c>
      <x:c r="F56" s="70" t="str">
        <x:v>ENGINEERING_DEFAULT</x:v>
      </x:c>
      <x:c r="G56" s="54" t="n">
        <x:v>8</x:v>
      </x:c>
      <x:c r="H56" s="54" t="n">
        <x:v>2400</x:v>
      </x:c>
      <x:c r="I56" s="74" t="n">
        <x:f>IF(OR(G56="",H56=""),"",G56/1000*H56)</x:f>
        <x:v>19.2</x:v>
      </x:c>
      <x:c r="J56" s="90" t="n">
        <x:v>65</x:v>
      </x:c>
      <x:c r="K56" s="62" t="n">
        <x:v>0.22</x:v>
      </x:c>
      <x:c r="L56" s="62" t="n">
        <x:v>0.008</x:v>
      </x:c>
      <x:c r="M56" s="54"/>
      <x:c r="N56" s="54"/>
      <x:c r="O56" s="62" t="n">
        <x:v>1.3</x:v>
      </x:c>
      <x:c r="P56" s="46" t="str">
        <x:v>Üst kaplama veya kuru sistem levhası</x:v>
      </x:c>
      <x:c r="Q56" s="46" t="str">
        <x:v>DÜŞÜK-ORTA</x:v>
      </x:c>
      <x:c r="R56" s="46" t="str"/>
      <x:c r="S56" s="50" t="str">
        <x:v>Kaplama ΔLw değeri yalnız standart referans döşeme üzerinde test edilirse aktarılabilir.</x:v>
      </x:c>
    </x:row>
    <x:row r="57">
      <x:c r="A57" s="46" t="str">
        <x:v>FL-FIN-PORCELAIN-10</x:v>
      </x:c>
      <x:c r="B57" s="46" t="str">
        <x:v>Zemin kaplaması / levha</x:v>
      </x:c>
      <x:c r="C57" s="46" t="str">
        <x:v>Porselen karo</x:v>
      </x:c>
      <x:c r="D57" s="46" t="str">
        <x:v>GENERIC</x:v>
      </x:c>
      <x:c r="E57" s="46" t="str">
        <x:v>PORCELAIN</x:v>
      </x:c>
      <x:c r="F57" s="70" t="str">
        <x:v>ENGINEERING_DEFAULT</x:v>
      </x:c>
      <x:c r="G57" s="54" t="n">
        <x:v>10</x:v>
      </x:c>
      <x:c r="H57" s="54" t="n">
        <x:v>2400</x:v>
      </x:c>
      <x:c r="I57" s="74" t="n">
        <x:f>IF(OR(G57="",H57=""),"",G57/1000*H57)</x:f>
        <x:v>24</x:v>
      </x:c>
      <x:c r="J57" s="90" t="n">
        <x:v>65</x:v>
      </x:c>
      <x:c r="K57" s="62" t="n">
        <x:v>0.22</x:v>
      </x:c>
      <x:c r="L57" s="62" t="n">
        <x:v>0.008</x:v>
      </x:c>
      <x:c r="M57" s="54"/>
      <x:c r="N57" s="54"/>
      <x:c r="O57" s="62" t="n">
        <x:v>1.3</x:v>
      </x:c>
      <x:c r="P57" s="46" t="str">
        <x:v>Üst kaplama veya kuru sistem levhası</x:v>
      </x:c>
      <x:c r="Q57" s="46" t="str">
        <x:v>DÜŞÜK-ORTA</x:v>
      </x:c>
      <x:c r="R57" s="46" t="str"/>
      <x:c r="S57" s="50" t="str">
        <x:v>Kaplama ΔLw değeri yalnız standart referans döşeme üzerinde test edilirse aktarılabilir.</x:v>
      </x:c>
    </x:row>
    <x:row r="58">
      <x:c r="A58" s="46" t="str">
        <x:v>FL-FIN-PORCELAIN-12</x:v>
      </x:c>
      <x:c r="B58" s="46" t="str">
        <x:v>Zemin kaplaması / levha</x:v>
      </x:c>
      <x:c r="C58" s="46" t="str">
        <x:v>Porselen karo</x:v>
      </x:c>
      <x:c r="D58" s="46" t="str">
        <x:v>GENERIC</x:v>
      </x:c>
      <x:c r="E58" s="46" t="str">
        <x:v>PORCELAIN</x:v>
      </x:c>
      <x:c r="F58" s="70" t="str">
        <x:v>ENGINEERING_DEFAULT</x:v>
      </x:c>
      <x:c r="G58" s="54" t="n">
        <x:v>12</x:v>
      </x:c>
      <x:c r="H58" s="54" t="n">
        <x:v>2400</x:v>
      </x:c>
      <x:c r="I58" s="74" t="n">
        <x:f>IF(OR(G58="",H58=""),"",G58/1000*H58)</x:f>
        <x:v>28.8</x:v>
      </x:c>
      <x:c r="J58" s="90" t="n">
        <x:v>65</x:v>
      </x:c>
      <x:c r="K58" s="62" t="n">
        <x:v>0.22</x:v>
      </x:c>
      <x:c r="L58" s="62" t="n">
        <x:v>0.008</x:v>
      </x:c>
      <x:c r="M58" s="54"/>
      <x:c r="N58" s="54"/>
      <x:c r="O58" s="62" t="n">
        <x:v>1.3</x:v>
      </x:c>
      <x:c r="P58" s="46" t="str">
        <x:v>Üst kaplama veya kuru sistem levhası</x:v>
      </x:c>
      <x:c r="Q58" s="46" t="str">
        <x:v>DÜŞÜK-ORTA</x:v>
      </x:c>
      <x:c r="R58" s="46" t="str"/>
      <x:c r="S58" s="50" t="str">
        <x:v>Kaplama ΔLw değeri yalnız standart referans döşeme üzerinde test edilirse aktarılabilir.</x:v>
      </x:c>
    </x:row>
    <x:row r="59">
      <x:c r="A59" s="46" t="str">
        <x:v>FL-FIN-STONE-10</x:v>
      </x:c>
      <x:c r="B59" s="46" t="str">
        <x:v>Zemin kaplaması / levha</x:v>
      </x:c>
      <x:c r="C59" s="46" t="str">
        <x:v>Doğal taş</x:v>
      </x:c>
      <x:c r="D59" s="46" t="str">
        <x:v>GENERIC</x:v>
      </x:c>
      <x:c r="E59" s="46" t="str">
        <x:v>STONE</x:v>
      </x:c>
      <x:c r="F59" s="70" t="str">
        <x:v>ENGINEERING_DEFAULT</x:v>
      </x:c>
      <x:c r="G59" s="54" t="n">
        <x:v>10</x:v>
      </x:c>
      <x:c r="H59" s="54" t="n">
        <x:v>2700</x:v>
      </x:c>
      <x:c r="I59" s="74" t="n">
        <x:f>IF(OR(G59="",H59=""),"",G59/1000*H59)</x:f>
        <x:v>27</x:v>
      </x:c>
      <x:c r="J59" s="90" t="n">
        <x:v>60</x:v>
      </x:c>
      <x:c r="K59" s="62" t="n">
        <x:v>0.25</x:v>
      </x:c>
      <x:c r="L59" s="62" t="n">
        <x:v>0.008</x:v>
      </x:c>
      <x:c r="M59" s="54"/>
      <x:c r="N59" s="54"/>
      <x:c r="O59" s="62" t="n">
        <x:v>2.5</x:v>
      </x:c>
      <x:c r="P59" s="46" t="str">
        <x:v>Üst kaplama veya kuru sistem levhası</x:v>
      </x:c>
      <x:c r="Q59" s="46" t="str">
        <x:v>DÜŞÜK-ORTA</x:v>
      </x:c>
      <x:c r="R59" s="46" t="str"/>
      <x:c r="S59" s="50" t="str">
        <x:v>Kaplama ΔLw değeri yalnız standart referans döşeme üzerinde test edilirse aktarılabilir.</x:v>
      </x:c>
    </x:row>
    <x:row r="60">
      <x:c r="A60" s="46" t="str">
        <x:v>FL-FIN-STONE-15</x:v>
      </x:c>
      <x:c r="B60" s="46" t="str">
        <x:v>Zemin kaplaması / levha</x:v>
      </x:c>
      <x:c r="C60" s="46" t="str">
        <x:v>Doğal taş</x:v>
      </x:c>
      <x:c r="D60" s="46" t="str">
        <x:v>GENERIC</x:v>
      </x:c>
      <x:c r="E60" s="46" t="str">
        <x:v>STONE</x:v>
      </x:c>
      <x:c r="F60" s="70" t="str">
        <x:v>ENGINEERING_DEFAULT</x:v>
      </x:c>
      <x:c r="G60" s="54" t="n">
        <x:v>15</x:v>
      </x:c>
      <x:c r="H60" s="54" t="n">
        <x:v>2700</x:v>
      </x:c>
      <x:c r="I60" s="74" t="n">
        <x:f>IF(OR(G60="",H60=""),"",G60/1000*H60)</x:f>
        <x:v>40.5</x:v>
      </x:c>
      <x:c r="J60" s="90" t="n">
        <x:v>60</x:v>
      </x:c>
      <x:c r="K60" s="62" t="n">
        <x:v>0.25</x:v>
      </x:c>
      <x:c r="L60" s="62" t="n">
        <x:v>0.008</x:v>
      </x:c>
      <x:c r="M60" s="54"/>
      <x:c r="N60" s="54"/>
      <x:c r="O60" s="62" t="n">
        <x:v>2.5</x:v>
      </x:c>
      <x:c r="P60" s="46" t="str">
        <x:v>Üst kaplama veya kuru sistem levhası</x:v>
      </x:c>
      <x:c r="Q60" s="46" t="str">
        <x:v>DÜŞÜK-ORTA</x:v>
      </x:c>
      <x:c r="R60" s="46" t="str"/>
      <x:c r="S60" s="50" t="str">
        <x:v>Kaplama ΔLw değeri yalnız standart referans döşeme üzerinde test edilirse aktarılabilir.</x:v>
      </x:c>
    </x:row>
    <x:row r="61">
      <x:c r="A61" s="46" t="str">
        <x:v>FL-FIN-STONE-20</x:v>
      </x:c>
      <x:c r="B61" s="46" t="str">
        <x:v>Zemin kaplaması / levha</x:v>
      </x:c>
      <x:c r="C61" s="46" t="str">
        <x:v>Doğal taş</x:v>
      </x:c>
      <x:c r="D61" s="46" t="str">
        <x:v>GENERIC</x:v>
      </x:c>
      <x:c r="E61" s="46" t="str">
        <x:v>STONE</x:v>
      </x:c>
      <x:c r="F61" s="70" t="str">
        <x:v>ENGINEERING_DEFAULT</x:v>
      </x:c>
      <x:c r="G61" s="54" t="n">
        <x:v>20</x:v>
      </x:c>
      <x:c r="H61" s="54" t="n">
        <x:v>2700</x:v>
      </x:c>
      <x:c r="I61" s="74" t="n">
        <x:f>IF(OR(G61="",H61=""),"",G61/1000*H61)</x:f>
        <x:v>54</x:v>
      </x:c>
      <x:c r="J61" s="90" t="n">
        <x:v>60</x:v>
      </x:c>
      <x:c r="K61" s="62" t="n">
        <x:v>0.25</x:v>
      </x:c>
      <x:c r="L61" s="62" t="n">
        <x:v>0.008</x:v>
      </x:c>
      <x:c r="M61" s="54"/>
      <x:c r="N61" s="54"/>
      <x:c r="O61" s="62" t="n">
        <x:v>2.5</x:v>
      </x:c>
      <x:c r="P61" s="46" t="str">
        <x:v>Üst kaplama veya kuru sistem levhası</x:v>
      </x:c>
      <x:c r="Q61" s="46" t="str">
        <x:v>DÜŞÜK-ORTA</x:v>
      </x:c>
      <x:c r="R61" s="46" t="str"/>
      <x:c r="S61" s="50" t="str">
        <x:v>Kaplama ΔLw değeri yalnız standart referans döşeme üzerinde test edilirse aktarılabilir.</x:v>
      </x:c>
    </x:row>
    <x:row r="62">
      <x:c r="A62" s="46" t="str">
        <x:v>FL-FIN-STONE-30</x:v>
      </x:c>
      <x:c r="B62" s="46" t="str">
        <x:v>Zemin kaplaması / levha</x:v>
      </x:c>
      <x:c r="C62" s="46" t="str">
        <x:v>Doğal taş</x:v>
      </x:c>
      <x:c r="D62" s="46" t="str">
        <x:v>GENERIC</x:v>
      </x:c>
      <x:c r="E62" s="46" t="str">
        <x:v>STONE</x:v>
      </x:c>
      <x:c r="F62" s="70" t="str">
        <x:v>ENGINEERING_DEFAULT</x:v>
      </x:c>
      <x:c r="G62" s="54" t="n">
        <x:v>30</x:v>
      </x:c>
      <x:c r="H62" s="54" t="n">
        <x:v>2700</x:v>
      </x:c>
      <x:c r="I62" s="74" t="n">
        <x:f>IF(OR(G62="",H62=""),"",G62/1000*H62)</x:f>
        <x:v>81</x:v>
      </x:c>
      <x:c r="J62" s="90" t="n">
        <x:v>60</x:v>
      </x:c>
      <x:c r="K62" s="62" t="n">
        <x:v>0.25</x:v>
      </x:c>
      <x:c r="L62" s="62" t="n">
        <x:v>0.008</x:v>
      </x:c>
      <x:c r="M62" s="54"/>
      <x:c r="N62" s="54"/>
      <x:c r="O62" s="62" t="n">
        <x:v>2.5</x:v>
      </x:c>
      <x:c r="P62" s="46" t="str">
        <x:v>Üst kaplama veya kuru sistem levhası</x:v>
      </x:c>
      <x:c r="Q62" s="46" t="str">
        <x:v>DÜŞÜK-ORTA</x:v>
      </x:c>
      <x:c r="R62" s="46" t="str"/>
      <x:c r="S62" s="50" t="str">
        <x:v>Kaplama ΔLw değeri yalnız standart referans döşeme üzerinde test edilirse aktarılabilir.</x:v>
      </x:c>
    </x:row>
    <x:row r="63">
      <x:c r="A63" s="46" t="str">
        <x:v>FL-FIN-TERRAZZO-15</x:v>
      </x:c>
      <x:c r="B63" s="46" t="str">
        <x:v>Zemin kaplaması / levha</x:v>
      </x:c>
      <x:c r="C63" s="46" t="str">
        <x:v>Terrazzo</x:v>
      </x:c>
      <x:c r="D63" s="46" t="str">
        <x:v>GENERIC</x:v>
      </x:c>
      <x:c r="E63" s="46" t="str">
        <x:v>TERRAZZO</x:v>
      </x:c>
      <x:c r="F63" s="70" t="str">
        <x:v>ENGINEERING_DEFAULT</x:v>
      </x:c>
      <x:c r="G63" s="54" t="n">
        <x:v>15</x:v>
      </x:c>
      <x:c r="H63" s="54" t="n">
        <x:v>2400</x:v>
      </x:c>
      <x:c r="I63" s="74" t="n">
        <x:f>IF(OR(G63="",H63=""),"",G63/1000*H63)</x:f>
        <x:v>36</x:v>
      </x:c>
      <x:c r="J63" s="90" t="n">
        <x:v>35</x:v>
      </x:c>
      <x:c r="K63" s="62" t="n">
        <x:v>0.22</x:v>
      </x:c>
      <x:c r="L63" s="62" t="n">
        <x:v>0.012</x:v>
      </x:c>
      <x:c r="M63" s="54"/>
      <x:c r="N63" s="54"/>
      <x:c r="O63" s="62" t="n">
        <x:v>1.8</x:v>
      </x:c>
      <x:c r="P63" s="46" t="str">
        <x:v>Üst kaplama veya kuru sistem levhası</x:v>
      </x:c>
      <x:c r="Q63" s="46" t="str">
        <x:v>DÜŞÜK-ORTA</x:v>
      </x:c>
      <x:c r="R63" s="46" t="str"/>
      <x:c r="S63" s="50" t="str">
        <x:v>Kaplama ΔLw değeri yalnız standart referans döşeme üzerinde test edilirse aktarılabilir.</x:v>
      </x:c>
    </x:row>
    <x:row r="64">
      <x:c r="A64" s="46" t="str">
        <x:v>FL-FIN-TERRAZZO-20</x:v>
      </x:c>
      <x:c r="B64" s="46" t="str">
        <x:v>Zemin kaplaması / levha</x:v>
      </x:c>
      <x:c r="C64" s="46" t="str">
        <x:v>Terrazzo</x:v>
      </x:c>
      <x:c r="D64" s="46" t="str">
        <x:v>GENERIC</x:v>
      </x:c>
      <x:c r="E64" s="46" t="str">
        <x:v>TERRAZZO</x:v>
      </x:c>
      <x:c r="F64" s="70" t="str">
        <x:v>ENGINEERING_DEFAULT</x:v>
      </x:c>
      <x:c r="G64" s="54" t="n">
        <x:v>20</x:v>
      </x:c>
      <x:c r="H64" s="54" t="n">
        <x:v>2400</x:v>
      </x:c>
      <x:c r="I64" s="74" t="n">
        <x:f>IF(OR(G64="",H64=""),"",G64/1000*H64)</x:f>
        <x:v>48</x:v>
      </x:c>
      <x:c r="J64" s="90" t="n">
        <x:v>35</x:v>
      </x:c>
      <x:c r="K64" s="62" t="n">
        <x:v>0.22</x:v>
      </x:c>
      <x:c r="L64" s="62" t="n">
        <x:v>0.012</x:v>
      </x:c>
      <x:c r="M64" s="54"/>
      <x:c r="N64" s="54"/>
      <x:c r="O64" s="62" t="n">
        <x:v>1.8</x:v>
      </x:c>
      <x:c r="P64" s="46" t="str">
        <x:v>Üst kaplama veya kuru sistem levhası</x:v>
      </x:c>
      <x:c r="Q64" s="46" t="str">
        <x:v>DÜŞÜK-ORTA</x:v>
      </x:c>
      <x:c r="R64" s="46" t="str"/>
      <x:c r="S64" s="50" t="str">
        <x:v>Kaplama ΔLw değeri yalnız standart referans döşeme üzerinde test edilirse aktarılabilir.</x:v>
      </x:c>
    </x:row>
    <x:row r="65">
      <x:c r="A65" s="46" t="str">
        <x:v>FL-FIN-TERRAZZO-25</x:v>
      </x:c>
      <x:c r="B65" s="46" t="str">
        <x:v>Zemin kaplaması / levha</x:v>
      </x:c>
      <x:c r="C65" s="46" t="str">
        <x:v>Terrazzo</x:v>
      </x:c>
      <x:c r="D65" s="46" t="str">
        <x:v>GENERIC</x:v>
      </x:c>
      <x:c r="E65" s="46" t="str">
        <x:v>TERRAZZO</x:v>
      </x:c>
      <x:c r="F65" s="70" t="str">
        <x:v>ENGINEERING_DEFAULT</x:v>
      </x:c>
      <x:c r="G65" s="54" t="n">
        <x:v>25</x:v>
      </x:c>
      <x:c r="H65" s="54" t="n">
        <x:v>2400</x:v>
      </x:c>
      <x:c r="I65" s="74" t="n">
        <x:f>IF(OR(G65="",H65=""),"",G65/1000*H65)</x:f>
        <x:v>60</x:v>
      </x:c>
      <x:c r="J65" s="90" t="n">
        <x:v>35</x:v>
      </x:c>
      <x:c r="K65" s="62" t="n">
        <x:v>0.22</x:v>
      </x:c>
      <x:c r="L65" s="62" t="n">
        <x:v>0.012</x:v>
      </x:c>
      <x:c r="M65" s="54"/>
      <x:c r="N65" s="54"/>
      <x:c r="O65" s="62" t="n">
        <x:v>1.8</x:v>
      </x:c>
      <x:c r="P65" s="46" t="str">
        <x:v>Üst kaplama veya kuru sistem levhası</x:v>
      </x:c>
      <x:c r="Q65" s="46" t="str">
        <x:v>DÜŞÜK-ORTA</x:v>
      </x:c>
      <x:c r="R65" s="46" t="str"/>
      <x:c r="S65" s="50" t="str">
        <x:v>Kaplama ΔLw değeri yalnız standart referans döşeme üzerinde test edilirse aktarılabilir.</x:v>
      </x:c>
    </x:row>
    <x:row r="66">
      <x:c r="A66" s="46" t="str">
        <x:v>FL-FIN-HARDWOOD-14</x:v>
      </x:c>
      <x:c r="B66" s="46" t="str">
        <x:v>Zemin kaplaması / levha</x:v>
      </x:c>
      <x:c r="C66" s="46" t="str">
        <x:v>Masif ahşap parke</x:v>
      </x:c>
      <x:c r="D66" s="46" t="str">
        <x:v>GENERIC</x:v>
      </x:c>
      <x:c r="E66" s="46" t="str">
        <x:v>HARDWOOD</x:v>
      </x:c>
      <x:c r="F66" s="70" t="str">
        <x:v>ENGINEERING_DEFAULT</x:v>
      </x:c>
      <x:c r="G66" s="54" t="n">
        <x:v>14</x:v>
      </x:c>
      <x:c r="H66" s="54" t="n">
        <x:v>700</x:v>
      </x:c>
      <x:c r="I66" s="74" t="n">
        <x:f>IF(OR(G66="",H66=""),"",G66/1000*H66)</x:f>
        <x:v>9.8</x:v>
      </x:c>
      <x:c r="J66" s="90" t="n">
        <x:v>11</x:v>
      </x:c>
      <x:c r="K66" s="62" t="n">
        <x:v>0.3</x:v>
      </x:c>
      <x:c r="L66" s="62" t="n">
        <x:v>0.03</x:v>
      </x:c>
      <x:c r="M66" s="54"/>
      <x:c r="N66" s="54"/>
      <x:c r="O66" s="62" t="n">
        <x:v>0.16</x:v>
      </x:c>
      <x:c r="P66" s="46" t="str">
        <x:v>Üst kaplama veya kuru sistem levhası</x:v>
      </x:c>
      <x:c r="Q66" s="46" t="str">
        <x:v>DÜŞÜK-ORTA</x:v>
      </x:c>
      <x:c r="R66" s="46" t="str"/>
      <x:c r="S66" s="50" t="str">
        <x:v>Kaplama ΔLw değeri yalnız standart referans döşeme üzerinde test edilirse aktarılabilir.</x:v>
      </x:c>
    </x:row>
    <x:row r="67">
      <x:c r="A67" s="46" t="str">
        <x:v>FL-FIN-HARDWOOD-18</x:v>
      </x:c>
      <x:c r="B67" s="46" t="str">
        <x:v>Zemin kaplaması / levha</x:v>
      </x:c>
      <x:c r="C67" s="46" t="str">
        <x:v>Masif ahşap parke</x:v>
      </x:c>
      <x:c r="D67" s="46" t="str">
        <x:v>GENERIC</x:v>
      </x:c>
      <x:c r="E67" s="46" t="str">
        <x:v>HARDWOOD</x:v>
      </x:c>
      <x:c r="F67" s="70" t="str">
        <x:v>ENGINEERING_DEFAULT</x:v>
      </x:c>
      <x:c r="G67" s="54" t="n">
        <x:v>18</x:v>
      </x:c>
      <x:c r="H67" s="54" t="n">
        <x:v>700</x:v>
      </x:c>
      <x:c r="I67" s="74" t="n">
        <x:f>IF(OR(G67="",H67=""),"",G67/1000*H67)</x:f>
        <x:v>12.6</x:v>
      </x:c>
      <x:c r="J67" s="90" t="n">
        <x:v>11</x:v>
      </x:c>
      <x:c r="K67" s="62" t="n">
        <x:v>0.3</x:v>
      </x:c>
      <x:c r="L67" s="62" t="n">
        <x:v>0.03</x:v>
      </x:c>
      <x:c r="M67" s="54"/>
      <x:c r="N67" s="54"/>
      <x:c r="O67" s="62" t="n">
        <x:v>0.16</x:v>
      </x:c>
      <x:c r="P67" s="46" t="str">
        <x:v>Üst kaplama veya kuru sistem levhası</x:v>
      </x:c>
      <x:c r="Q67" s="46" t="str">
        <x:v>DÜŞÜK-ORTA</x:v>
      </x:c>
      <x:c r="R67" s="46" t="str"/>
      <x:c r="S67" s="50" t="str">
        <x:v>Kaplama ΔLw değeri yalnız standart referans döşeme üzerinde test edilirse aktarılabilir.</x:v>
      </x:c>
    </x:row>
    <x:row r="68">
      <x:c r="A68" s="46" t="str">
        <x:v>FL-FIN-HARDWOOD-20</x:v>
      </x:c>
      <x:c r="B68" s="46" t="str">
        <x:v>Zemin kaplaması / levha</x:v>
      </x:c>
      <x:c r="C68" s="46" t="str">
        <x:v>Masif ahşap parke</x:v>
      </x:c>
      <x:c r="D68" s="46" t="str">
        <x:v>GENERIC</x:v>
      </x:c>
      <x:c r="E68" s="46" t="str">
        <x:v>HARDWOOD</x:v>
      </x:c>
      <x:c r="F68" s="70" t="str">
        <x:v>ENGINEERING_DEFAULT</x:v>
      </x:c>
      <x:c r="G68" s="54" t="n">
        <x:v>20</x:v>
      </x:c>
      <x:c r="H68" s="54" t="n">
        <x:v>700</x:v>
      </x:c>
      <x:c r="I68" s="74" t="n">
        <x:f>IF(OR(G68="",H68=""),"",G68/1000*H68)</x:f>
        <x:v>14</x:v>
      </x:c>
      <x:c r="J68" s="90" t="n">
        <x:v>11</x:v>
      </x:c>
      <x:c r="K68" s="62" t="n">
        <x:v>0.3</x:v>
      </x:c>
      <x:c r="L68" s="62" t="n">
        <x:v>0.03</x:v>
      </x:c>
      <x:c r="M68" s="54"/>
      <x:c r="N68" s="54"/>
      <x:c r="O68" s="62" t="n">
        <x:v>0.16</x:v>
      </x:c>
      <x:c r="P68" s="46" t="str">
        <x:v>Üst kaplama veya kuru sistem levhası</x:v>
      </x:c>
      <x:c r="Q68" s="46" t="str">
        <x:v>DÜŞÜK-ORTA</x:v>
      </x:c>
      <x:c r="R68" s="46" t="str"/>
      <x:c r="S68" s="50" t="str">
        <x:v>Kaplama ΔLw değeri yalnız standart referans döşeme üzerinde test edilirse aktarılabilir.</x:v>
      </x:c>
    </x:row>
    <x:row r="69">
      <x:c r="A69" s="46" t="str">
        <x:v>FL-FIN-HARDWOOD-22</x:v>
      </x:c>
      <x:c r="B69" s="46" t="str">
        <x:v>Zemin kaplaması / levha</x:v>
      </x:c>
      <x:c r="C69" s="46" t="str">
        <x:v>Masif ahşap parke</x:v>
      </x:c>
      <x:c r="D69" s="46" t="str">
        <x:v>GENERIC</x:v>
      </x:c>
      <x:c r="E69" s="46" t="str">
        <x:v>HARDWOOD</x:v>
      </x:c>
      <x:c r="F69" s="70" t="str">
        <x:v>ENGINEERING_DEFAULT</x:v>
      </x:c>
      <x:c r="G69" s="54" t="n">
        <x:v>22</x:v>
      </x:c>
      <x:c r="H69" s="54" t="n">
        <x:v>700</x:v>
      </x:c>
      <x:c r="I69" s="74" t="n">
        <x:f>IF(OR(G69="",H69=""),"",G69/1000*H69)</x:f>
        <x:v>15.399999999999999</x:v>
      </x:c>
      <x:c r="J69" s="90" t="n">
        <x:v>11</x:v>
      </x:c>
      <x:c r="K69" s="62" t="n">
        <x:v>0.3</x:v>
      </x:c>
      <x:c r="L69" s="62" t="n">
        <x:v>0.03</x:v>
      </x:c>
      <x:c r="M69" s="54"/>
      <x:c r="N69" s="54"/>
      <x:c r="O69" s="62" t="n">
        <x:v>0.16</x:v>
      </x:c>
      <x:c r="P69" s="46" t="str">
        <x:v>Üst kaplama veya kuru sistem levhası</x:v>
      </x:c>
      <x:c r="Q69" s="46" t="str">
        <x:v>DÜŞÜK-ORTA</x:v>
      </x:c>
      <x:c r="R69" s="46" t="str"/>
      <x:c r="S69" s="50" t="str">
        <x:v>Kaplama ΔLw değeri yalnız standart referans döşeme üzerinde test edilirse aktarılabilir.</x:v>
      </x:c>
    </x:row>
    <x:row r="70">
      <x:c r="A70" s="46" t="str">
        <x:v>FL-FIN-ENGINEERED-10</x:v>
      </x:c>
      <x:c r="B70" s="46" t="str">
        <x:v>Zemin kaplaması / levha</x:v>
      </x:c>
      <x:c r="C70" s="46" t="str">
        <x:v>Mühendislik ahşap parke</x:v>
      </x:c>
      <x:c r="D70" s="46" t="str">
        <x:v>GENERIC</x:v>
      </x:c>
      <x:c r="E70" s="46" t="str">
        <x:v>ENGINEERED</x:v>
      </x:c>
      <x:c r="F70" s="70" t="str">
        <x:v>ENGINEERING_DEFAULT</x:v>
      </x:c>
      <x:c r="G70" s="54" t="n">
        <x:v>10</x:v>
      </x:c>
      <x:c r="H70" s="54" t="n">
        <x:v>650</x:v>
      </x:c>
      <x:c r="I70" s="74" t="n">
        <x:f>IF(OR(G70="",H70=""),"",G70/1000*H70)</x:f>
        <x:v>6.5</x:v>
      </x:c>
      <x:c r="J70" s="90" t="n">
        <x:v>8</x:v>
      </x:c>
      <x:c r="K70" s="62" t="n">
        <x:v>0.3</x:v>
      </x:c>
      <x:c r="L70" s="62" t="n">
        <x:v>0.04</x:v>
      </x:c>
      <x:c r="M70" s="54"/>
      <x:c r="N70" s="54"/>
      <x:c r="O70" s="62" t="n">
        <x:v>0.15</x:v>
      </x:c>
      <x:c r="P70" s="46" t="str">
        <x:v>Üst kaplama veya kuru sistem levhası</x:v>
      </x:c>
      <x:c r="Q70" s="46" t="str">
        <x:v>DÜŞÜK-ORTA</x:v>
      </x:c>
      <x:c r="R70" s="46" t="str"/>
      <x:c r="S70" s="50" t="str">
        <x:v>Kaplama ΔLw değeri yalnız standart referans döşeme üzerinde test edilirse aktarılabilir.</x:v>
      </x:c>
    </x:row>
    <x:row r="71">
      <x:c r="A71" s="46" t="str">
        <x:v>FL-FIN-ENGINEERED-14</x:v>
      </x:c>
      <x:c r="B71" s="46" t="str">
        <x:v>Zemin kaplaması / levha</x:v>
      </x:c>
      <x:c r="C71" s="46" t="str">
        <x:v>Mühendislik ahşap parke</x:v>
      </x:c>
      <x:c r="D71" s="46" t="str">
        <x:v>GENERIC</x:v>
      </x:c>
      <x:c r="E71" s="46" t="str">
        <x:v>ENGINEERED</x:v>
      </x:c>
      <x:c r="F71" s="70" t="str">
        <x:v>ENGINEERING_DEFAULT</x:v>
      </x:c>
      <x:c r="G71" s="54" t="n">
        <x:v>14</x:v>
      </x:c>
      <x:c r="H71" s="54" t="n">
        <x:v>650</x:v>
      </x:c>
      <x:c r="I71" s="74" t="n">
        <x:f>IF(OR(G71="",H71=""),"",G71/1000*H71)</x:f>
        <x:v>9.1</x:v>
      </x:c>
      <x:c r="J71" s="90" t="n">
        <x:v>8</x:v>
      </x:c>
      <x:c r="K71" s="62" t="n">
        <x:v>0.3</x:v>
      </x:c>
      <x:c r="L71" s="62" t="n">
        <x:v>0.04</x:v>
      </x:c>
      <x:c r="M71" s="54"/>
      <x:c r="N71" s="54"/>
      <x:c r="O71" s="62" t="n">
        <x:v>0.15</x:v>
      </x:c>
      <x:c r="P71" s="46" t="str">
        <x:v>Üst kaplama veya kuru sistem levhası</x:v>
      </x:c>
      <x:c r="Q71" s="46" t="str">
        <x:v>DÜŞÜK-ORTA</x:v>
      </x:c>
      <x:c r="R71" s="46" t="str"/>
      <x:c r="S71" s="50" t="str">
        <x:v>Kaplama ΔLw değeri yalnız standart referans döşeme üzerinde test edilirse aktarılabilir.</x:v>
      </x:c>
    </x:row>
    <x:row r="72">
      <x:c r="A72" s="46" t="str">
        <x:v>FL-FIN-ENGINEERED-15</x:v>
      </x:c>
      <x:c r="B72" s="46" t="str">
        <x:v>Zemin kaplaması / levha</x:v>
      </x:c>
      <x:c r="C72" s="46" t="str">
        <x:v>Mühendislik ahşap parke</x:v>
      </x:c>
      <x:c r="D72" s="46" t="str">
        <x:v>GENERIC</x:v>
      </x:c>
      <x:c r="E72" s="46" t="str">
        <x:v>ENGINEERED</x:v>
      </x:c>
      <x:c r="F72" s="70" t="str">
        <x:v>ENGINEERING_DEFAULT</x:v>
      </x:c>
      <x:c r="G72" s="54" t="n">
        <x:v>15</x:v>
      </x:c>
      <x:c r="H72" s="54" t="n">
        <x:v>650</x:v>
      </x:c>
      <x:c r="I72" s="74" t="n">
        <x:f>IF(OR(G72="",H72=""),"",G72/1000*H72)</x:f>
        <x:v>9.75</x:v>
      </x:c>
      <x:c r="J72" s="90" t="n">
        <x:v>8</x:v>
      </x:c>
      <x:c r="K72" s="62" t="n">
        <x:v>0.3</x:v>
      </x:c>
      <x:c r="L72" s="62" t="n">
        <x:v>0.04</x:v>
      </x:c>
      <x:c r="M72" s="54"/>
      <x:c r="N72" s="54"/>
      <x:c r="O72" s="62" t="n">
        <x:v>0.15</x:v>
      </x:c>
      <x:c r="P72" s="46" t="str">
        <x:v>Üst kaplama veya kuru sistem levhası</x:v>
      </x:c>
      <x:c r="Q72" s="46" t="str">
        <x:v>DÜŞÜK-ORTA</x:v>
      </x:c>
      <x:c r="R72" s="46" t="str"/>
      <x:c r="S72" s="50" t="str">
        <x:v>Kaplama ΔLw değeri yalnız standart referans döşeme üzerinde test edilirse aktarılabilir.</x:v>
      </x:c>
    </x:row>
    <x:row r="73">
      <x:c r="A73" s="46" t="str">
        <x:v>FL-FIN-ENGINEERED-18</x:v>
      </x:c>
      <x:c r="B73" s="46" t="str">
        <x:v>Zemin kaplaması / levha</x:v>
      </x:c>
      <x:c r="C73" s="46" t="str">
        <x:v>Mühendislik ahşap parke</x:v>
      </x:c>
      <x:c r="D73" s="46" t="str">
        <x:v>GENERIC</x:v>
      </x:c>
      <x:c r="E73" s="46" t="str">
        <x:v>ENGINEERED</x:v>
      </x:c>
      <x:c r="F73" s="70" t="str">
        <x:v>ENGINEERING_DEFAULT</x:v>
      </x:c>
      <x:c r="G73" s="54" t="n">
        <x:v>18</x:v>
      </x:c>
      <x:c r="H73" s="54" t="n">
        <x:v>650</x:v>
      </x:c>
      <x:c r="I73" s="74" t="n">
        <x:f>IF(OR(G73="",H73=""),"",G73/1000*H73)</x:f>
        <x:v>11.7</x:v>
      </x:c>
      <x:c r="J73" s="90" t="n">
        <x:v>8</x:v>
      </x:c>
      <x:c r="K73" s="62" t="n">
        <x:v>0.3</x:v>
      </x:c>
      <x:c r="L73" s="62" t="n">
        <x:v>0.04</x:v>
      </x:c>
      <x:c r="M73" s="54"/>
      <x:c r="N73" s="54"/>
      <x:c r="O73" s="62" t="n">
        <x:v>0.15</x:v>
      </x:c>
      <x:c r="P73" s="46" t="str">
        <x:v>Üst kaplama veya kuru sistem levhası</x:v>
      </x:c>
      <x:c r="Q73" s="46" t="str">
        <x:v>DÜŞÜK-ORTA</x:v>
      </x:c>
      <x:c r="R73" s="46" t="str"/>
      <x:c r="S73" s="50" t="str">
        <x:v>Kaplama ΔLw değeri yalnız standart referans döşeme üzerinde test edilirse aktarılabilir.</x:v>
      </x:c>
    </x:row>
    <x:row r="74">
      <x:c r="A74" s="46" t="str">
        <x:v>FL-FIN-LAMINATE-8</x:v>
      </x:c>
      <x:c r="B74" s="46" t="str">
        <x:v>Zemin kaplaması / levha</x:v>
      </x:c>
      <x:c r="C74" s="46" t="str">
        <x:v>Laminat</x:v>
      </x:c>
      <x:c r="D74" s="46" t="str">
        <x:v>GENERIC</x:v>
      </x:c>
      <x:c r="E74" s="46" t="str">
        <x:v>LAMINATE</x:v>
      </x:c>
      <x:c r="F74" s="70" t="str">
        <x:v>ENGINEERING_DEFAULT</x:v>
      </x:c>
      <x:c r="G74" s="54" t="n">
        <x:v>8</x:v>
      </x:c>
      <x:c r="H74" s="54" t="n">
        <x:v>850</x:v>
      </x:c>
      <x:c r="I74" s="74" t="n">
        <x:f>IF(OR(G74="",H74=""),"",G74/1000*H74)</x:f>
        <x:v>6.8</x:v>
      </x:c>
      <x:c r="J74" s="90" t="n">
        <x:v>4</x:v>
      </x:c>
      <x:c r="K74" s="62" t="n">
        <x:v>0.3</x:v>
      </x:c>
      <x:c r="L74" s="62" t="n">
        <x:v>0.05</x:v>
      </x:c>
      <x:c r="M74" s="54"/>
      <x:c r="N74" s="54"/>
      <x:c r="O74" s="62" t="n">
        <x:v>0.15</x:v>
      </x:c>
      <x:c r="P74" s="46" t="str">
        <x:v>Üst kaplama veya kuru sistem levhası</x:v>
      </x:c>
      <x:c r="Q74" s="46" t="str">
        <x:v>DÜŞÜK-ORTA</x:v>
      </x:c>
      <x:c r="R74" s="46" t="str"/>
      <x:c r="S74" s="50" t="str">
        <x:v>Kaplama ΔLw değeri yalnız standart referans döşeme üzerinde test edilirse aktarılabilir.</x:v>
      </x:c>
    </x:row>
    <x:row r="75">
      <x:c r="A75" s="46" t="str">
        <x:v>FL-FIN-LAMINATE-10</x:v>
      </x:c>
      <x:c r="B75" s="46" t="str">
        <x:v>Zemin kaplaması / levha</x:v>
      </x:c>
      <x:c r="C75" s="46" t="str">
        <x:v>Laminat</x:v>
      </x:c>
      <x:c r="D75" s="46" t="str">
        <x:v>GENERIC</x:v>
      </x:c>
      <x:c r="E75" s="46" t="str">
        <x:v>LAMINATE</x:v>
      </x:c>
      <x:c r="F75" s="70" t="str">
        <x:v>ENGINEERING_DEFAULT</x:v>
      </x:c>
      <x:c r="G75" s="54" t="n">
        <x:v>10</x:v>
      </x:c>
      <x:c r="H75" s="54" t="n">
        <x:v>850</x:v>
      </x:c>
      <x:c r="I75" s="74" t="n">
        <x:f>IF(OR(G75="",H75=""),"",G75/1000*H75)</x:f>
        <x:v>8.5</x:v>
      </x:c>
      <x:c r="J75" s="90" t="n">
        <x:v>4</x:v>
      </x:c>
      <x:c r="K75" s="62" t="n">
        <x:v>0.3</x:v>
      </x:c>
      <x:c r="L75" s="62" t="n">
        <x:v>0.05</x:v>
      </x:c>
      <x:c r="M75" s="54"/>
      <x:c r="N75" s="54"/>
      <x:c r="O75" s="62" t="n">
        <x:v>0.15</x:v>
      </x:c>
      <x:c r="P75" s="46" t="str">
        <x:v>Üst kaplama veya kuru sistem levhası</x:v>
      </x:c>
      <x:c r="Q75" s="46" t="str">
        <x:v>DÜŞÜK-ORTA</x:v>
      </x:c>
      <x:c r="R75" s="46" t="str"/>
      <x:c r="S75" s="50" t="str">
        <x:v>Kaplama ΔLw değeri yalnız standart referans döşeme üzerinde test edilirse aktarılabilir.</x:v>
      </x:c>
    </x:row>
    <x:row r="76">
      <x:c r="A76" s="46" t="str">
        <x:v>FL-FIN-LAMINATE-12</x:v>
      </x:c>
      <x:c r="B76" s="46" t="str">
        <x:v>Zemin kaplaması / levha</x:v>
      </x:c>
      <x:c r="C76" s="46" t="str">
        <x:v>Laminat</x:v>
      </x:c>
      <x:c r="D76" s="46" t="str">
        <x:v>GENERIC</x:v>
      </x:c>
      <x:c r="E76" s="46" t="str">
        <x:v>LAMINATE</x:v>
      </x:c>
      <x:c r="F76" s="70" t="str">
        <x:v>ENGINEERING_DEFAULT</x:v>
      </x:c>
      <x:c r="G76" s="54" t="n">
        <x:v>12</x:v>
      </x:c>
      <x:c r="H76" s="54" t="n">
        <x:v>850</x:v>
      </x:c>
      <x:c r="I76" s="74" t="n">
        <x:f>IF(OR(G76="",H76=""),"",G76/1000*H76)</x:f>
        <x:v>10.200000000000001</x:v>
      </x:c>
      <x:c r="J76" s="90" t="n">
        <x:v>4</x:v>
      </x:c>
      <x:c r="K76" s="62" t="n">
        <x:v>0.3</x:v>
      </x:c>
      <x:c r="L76" s="62" t="n">
        <x:v>0.05</x:v>
      </x:c>
      <x:c r="M76" s="54"/>
      <x:c r="N76" s="54"/>
      <x:c r="O76" s="62" t="n">
        <x:v>0.15</x:v>
      </x:c>
      <x:c r="P76" s="46" t="str">
        <x:v>Üst kaplama veya kuru sistem levhası</x:v>
      </x:c>
      <x:c r="Q76" s="46" t="str">
        <x:v>DÜŞÜK-ORTA</x:v>
      </x:c>
      <x:c r="R76" s="46" t="str"/>
      <x:c r="S76" s="50" t="str">
        <x:v>Kaplama ΔLw değeri yalnız standart referans döşeme üzerinde test edilirse aktarılabilir.</x:v>
      </x:c>
    </x:row>
    <x:row r="77">
      <x:c r="A77" s="46" t="str">
        <x:v>FL-FIN-LVT-2</x:v>
      </x:c>
      <x:c r="B77" s="46" t="str">
        <x:v>Zemin kaplaması / levha</x:v>
      </x:c>
      <x:c r="C77" s="46" t="str">
        <x:v>LVT/PVC kaplama</x:v>
      </x:c>
      <x:c r="D77" s="46" t="str">
        <x:v>GENERIC</x:v>
      </x:c>
      <x:c r="E77" s="46" t="str">
        <x:v>LVT</x:v>
      </x:c>
      <x:c r="F77" s="70" t="str">
        <x:v>ENGINEERING_DEFAULT</x:v>
      </x:c>
      <x:c r="G77" s="54" t="n">
        <x:v>2</x:v>
      </x:c>
      <x:c r="H77" s="54" t="n">
        <x:v>1400</x:v>
      </x:c>
      <x:c r="I77" s="74" t="n">
        <x:f>IF(OR(G77="",H77=""),"",G77/1000*H77)</x:f>
        <x:v>2.8000000000000003</x:v>
      </x:c>
      <x:c r="J77" s="90" t="n">
        <x:v>0.05</x:v>
      </x:c>
      <x:c r="K77" s="62" t="n">
        <x:v>0.45</x:v>
      </x:c>
      <x:c r="L77" s="62" t="n">
        <x:v>0.1</x:v>
      </x:c>
      <x:c r="M77" s="54"/>
      <x:c r="N77" s="54"/>
      <x:c r="O77" s="62" t="n">
        <x:v>0.2</x:v>
      </x:c>
      <x:c r="P77" s="46" t="str">
        <x:v>Üst kaplama veya kuru sistem levhası</x:v>
      </x:c>
      <x:c r="Q77" s="46" t="str">
        <x:v>DÜŞÜK-ORTA</x:v>
      </x:c>
      <x:c r="R77" s="46" t="str"/>
      <x:c r="S77" s="50" t="str">
        <x:v>Kaplama ΔLw değeri yalnız standart referans döşeme üzerinde test edilirse aktarılabilir.</x:v>
      </x:c>
    </x:row>
    <x:row r="78">
      <x:c r="A78" s="46" t="str">
        <x:v>FL-FIN-LVT-3</x:v>
      </x:c>
      <x:c r="B78" s="46" t="str">
        <x:v>Zemin kaplaması / levha</x:v>
      </x:c>
      <x:c r="C78" s="46" t="str">
        <x:v>LVT/PVC kaplama</x:v>
      </x:c>
      <x:c r="D78" s="46" t="str">
        <x:v>GENERIC</x:v>
      </x:c>
      <x:c r="E78" s="46" t="str">
        <x:v>LVT</x:v>
      </x:c>
      <x:c r="F78" s="70" t="str">
        <x:v>ENGINEERING_DEFAULT</x:v>
      </x:c>
      <x:c r="G78" s="54" t="n">
        <x:v>3</x:v>
      </x:c>
      <x:c r="H78" s="54" t="n">
        <x:v>1400</x:v>
      </x:c>
      <x:c r="I78" s="74" t="n">
        <x:f>IF(OR(G78="",H78=""),"",G78/1000*H78)</x:f>
        <x:v>4.2</x:v>
      </x:c>
      <x:c r="J78" s="90" t="n">
        <x:v>0.05</x:v>
      </x:c>
      <x:c r="K78" s="62" t="n">
        <x:v>0.45</x:v>
      </x:c>
      <x:c r="L78" s="62" t="n">
        <x:v>0.1</x:v>
      </x:c>
      <x:c r="M78" s="54"/>
      <x:c r="N78" s="54"/>
      <x:c r="O78" s="62" t="n">
        <x:v>0.2</x:v>
      </x:c>
      <x:c r="P78" s="46" t="str">
        <x:v>Üst kaplama veya kuru sistem levhası</x:v>
      </x:c>
      <x:c r="Q78" s="46" t="str">
        <x:v>DÜŞÜK-ORTA</x:v>
      </x:c>
      <x:c r="R78" s="46" t="str"/>
      <x:c r="S78" s="50" t="str">
        <x:v>Kaplama ΔLw değeri yalnız standart referans döşeme üzerinde test edilirse aktarılabilir.</x:v>
      </x:c>
    </x:row>
    <x:row r="79">
      <x:c r="A79" s="46" t="str">
        <x:v>FL-FIN-LVT-4</x:v>
      </x:c>
      <x:c r="B79" s="46" t="str">
        <x:v>Zemin kaplaması / levha</x:v>
      </x:c>
      <x:c r="C79" s="46" t="str">
        <x:v>LVT/PVC kaplama</x:v>
      </x:c>
      <x:c r="D79" s="46" t="str">
        <x:v>GENERIC</x:v>
      </x:c>
      <x:c r="E79" s="46" t="str">
        <x:v>LVT</x:v>
      </x:c>
      <x:c r="F79" s="70" t="str">
        <x:v>ENGINEERING_DEFAULT</x:v>
      </x:c>
      <x:c r="G79" s="54" t="n">
        <x:v>4</x:v>
      </x:c>
      <x:c r="H79" s="54" t="n">
        <x:v>1400</x:v>
      </x:c>
      <x:c r="I79" s="74" t="n">
        <x:f>IF(OR(G79="",H79=""),"",G79/1000*H79)</x:f>
        <x:v>5.6000000000000005</x:v>
      </x:c>
      <x:c r="J79" s="90" t="n">
        <x:v>0.05</x:v>
      </x:c>
      <x:c r="K79" s="62" t="n">
        <x:v>0.45</x:v>
      </x:c>
      <x:c r="L79" s="62" t="n">
        <x:v>0.1</x:v>
      </x:c>
      <x:c r="M79" s="54"/>
      <x:c r="N79" s="54"/>
      <x:c r="O79" s="62" t="n">
        <x:v>0.2</x:v>
      </x:c>
      <x:c r="P79" s="46" t="str">
        <x:v>Üst kaplama veya kuru sistem levhası</x:v>
      </x:c>
      <x:c r="Q79" s="46" t="str">
        <x:v>DÜŞÜK-ORTA</x:v>
      </x:c>
      <x:c r="R79" s="46" t="str"/>
      <x:c r="S79" s="50" t="str">
        <x:v>Kaplama ΔLw değeri yalnız standart referans döşeme üzerinde test edilirse aktarılabilir.</x:v>
      </x:c>
    </x:row>
    <x:row r="80">
      <x:c r="A80" s="46" t="str">
        <x:v>FL-FIN-LVT-5</x:v>
      </x:c>
      <x:c r="B80" s="46" t="str">
        <x:v>Zemin kaplaması / levha</x:v>
      </x:c>
      <x:c r="C80" s="46" t="str">
        <x:v>LVT/PVC kaplama</x:v>
      </x:c>
      <x:c r="D80" s="46" t="str">
        <x:v>GENERIC</x:v>
      </x:c>
      <x:c r="E80" s="46" t="str">
        <x:v>LVT</x:v>
      </x:c>
      <x:c r="F80" s="70" t="str">
        <x:v>ENGINEERING_DEFAULT</x:v>
      </x:c>
      <x:c r="G80" s="54" t="n">
        <x:v>5</x:v>
      </x:c>
      <x:c r="H80" s="54" t="n">
        <x:v>1400</x:v>
      </x:c>
      <x:c r="I80" s="74" t="n">
        <x:f>IF(OR(G80="",H80=""),"",G80/1000*H80)</x:f>
        <x:v>7</x:v>
      </x:c>
      <x:c r="J80" s="90" t="n">
        <x:v>0.05</x:v>
      </x:c>
      <x:c r="K80" s="62" t="n">
        <x:v>0.45</x:v>
      </x:c>
      <x:c r="L80" s="62" t="n">
        <x:v>0.1</x:v>
      </x:c>
      <x:c r="M80" s="54"/>
      <x:c r="N80" s="54"/>
      <x:c r="O80" s="62" t="n">
        <x:v>0.2</x:v>
      </x:c>
      <x:c r="P80" s="46" t="str">
        <x:v>Üst kaplama veya kuru sistem levhası</x:v>
      </x:c>
      <x:c r="Q80" s="46" t="str">
        <x:v>DÜŞÜK-ORTA</x:v>
      </x:c>
      <x:c r="R80" s="46" t="str"/>
      <x:c r="S80" s="50" t="str">
        <x:v>Kaplama ΔLw değeri yalnız standart referans döşeme üzerinde test edilirse aktarılabilir.</x:v>
      </x:c>
    </x:row>
    <x:row r="81">
      <x:c r="A81" s="46" t="str">
        <x:v>FL-FIN-LINO-2</x:v>
      </x:c>
      <x:c r="B81" s="46" t="str">
        <x:v>Zemin kaplaması / levha</x:v>
      </x:c>
      <x:c r="C81" s="46" t="str">
        <x:v>Linolyum</x:v>
      </x:c>
      <x:c r="D81" s="46" t="str">
        <x:v>GENERIC</x:v>
      </x:c>
      <x:c r="E81" s="46" t="str">
        <x:v>LINO</x:v>
      </x:c>
      <x:c r="F81" s="70" t="str">
        <x:v>ENGINEERING_DEFAULT</x:v>
      </x:c>
      <x:c r="G81" s="54" t="n">
        <x:v>2</x:v>
      </x:c>
      <x:c r="H81" s="54" t="n">
        <x:v>1200</x:v>
      </x:c>
      <x:c r="I81" s="74" t="n">
        <x:f>IF(OR(G81="",H81=""),"",G81/1000*H81)</x:f>
        <x:v>2.4</x:v>
      </x:c>
      <x:c r="J81" s="90" t="n">
        <x:v>0.1</x:v>
      </x:c>
      <x:c r="K81" s="62" t="n">
        <x:v>0.4</x:v>
      </x:c>
      <x:c r="L81" s="62" t="n">
        <x:v>0.1</x:v>
      </x:c>
      <x:c r="M81" s="54"/>
      <x:c r="N81" s="54"/>
      <x:c r="O81" s="62" t="n">
        <x:v>0.17</x:v>
      </x:c>
      <x:c r="P81" s="46" t="str">
        <x:v>Üst kaplama veya kuru sistem levhası</x:v>
      </x:c>
      <x:c r="Q81" s="46" t="str">
        <x:v>DÜŞÜK-ORTA</x:v>
      </x:c>
      <x:c r="R81" s="46" t="str"/>
      <x:c r="S81" s="50" t="str">
        <x:v>Kaplama ΔLw değeri yalnız standart referans döşeme üzerinde test edilirse aktarılabilir.</x:v>
      </x:c>
    </x:row>
    <x:row r="82">
      <x:c r="A82" s="46" t="str">
        <x:v>FL-FIN-LINO-2p5</x:v>
      </x:c>
      <x:c r="B82" s="46" t="str">
        <x:v>Zemin kaplaması / levha</x:v>
      </x:c>
      <x:c r="C82" s="46" t="str">
        <x:v>Linolyum</x:v>
      </x:c>
      <x:c r="D82" s="46" t="str">
        <x:v>GENERIC</x:v>
      </x:c>
      <x:c r="E82" s="46" t="str">
        <x:v>LINO</x:v>
      </x:c>
      <x:c r="F82" s="70" t="str">
        <x:v>ENGINEERING_DEFAULT</x:v>
      </x:c>
      <x:c r="G82" s="54" t="n">
        <x:v>2.5</x:v>
      </x:c>
      <x:c r="H82" s="54" t="n">
        <x:v>1200</x:v>
      </x:c>
      <x:c r="I82" s="74" t="n">
        <x:f>IF(OR(G82="",H82=""),"",G82/1000*H82)</x:f>
        <x:v>3</x:v>
      </x:c>
      <x:c r="J82" s="90" t="n">
        <x:v>0.1</x:v>
      </x:c>
      <x:c r="K82" s="62" t="n">
        <x:v>0.4</x:v>
      </x:c>
      <x:c r="L82" s="62" t="n">
        <x:v>0.1</x:v>
      </x:c>
      <x:c r="M82" s="54"/>
      <x:c r="N82" s="54"/>
      <x:c r="O82" s="62" t="n">
        <x:v>0.17</x:v>
      </x:c>
      <x:c r="P82" s="46" t="str">
        <x:v>Üst kaplama veya kuru sistem levhası</x:v>
      </x:c>
      <x:c r="Q82" s="46" t="str">
        <x:v>DÜŞÜK-ORTA</x:v>
      </x:c>
      <x:c r="R82" s="46" t="str"/>
      <x:c r="S82" s="50" t="str">
        <x:v>Kaplama ΔLw değeri yalnız standart referans döşeme üzerinde test edilirse aktarılabilir.</x:v>
      </x:c>
    </x:row>
    <x:row r="83">
      <x:c r="A83" s="46" t="str">
        <x:v>FL-FIN-LINO-3</x:v>
      </x:c>
      <x:c r="B83" s="46" t="str">
        <x:v>Zemin kaplaması / levha</x:v>
      </x:c>
      <x:c r="C83" s="46" t="str">
        <x:v>Linolyum</x:v>
      </x:c>
      <x:c r="D83" s="46" t="str">
        <x:v>GENERIC</x:v>
      </x:c>
      <x:c r="E83" s="46" t="str">
        <x:v>LINO</x:v>
      </x:c>
      <x:c r="F83" s="70" t="str">
        <x:v>ENGINEERING_DEFAULT</x:v>
      </x:c>
      <x:c r="G83" s="54" t="n">
        <x:v>3</x:v>
      </x:c>
      <x:c r="H83" s="54" t="n">
        <x:v>1200</x:v>
      </x:c>
      <x:c r="I83" s="74" t="n">
        <x:f>IF(OR(G83="",H83=""),"",G83/1000*H83)</x:f>
        <x:v>3.6</x:v>
      </x:c>
      <x:c r="J83" s="90" t="n">
        <x:v>0.1</x:v>
      </x:c>
      <x:c r="K83" s="62" t="n">
        <x:v>0.4</x:v>
      </x:c>
      <x:c r="L83" s="62" t="n">
        <x:v>0.1</x:v>
      </x:c>
      <x:c r="M83" s="54"/>
      <x:c r="N83" s="54"/>
      <x:c r="O83" s="62" t="n">
        <x:v>0.17</x:v>
      </x:c>
      <x:c r="P83" s="46" t="str">
        <x:v>Üst kaplama veya kuru sistem levhası</x:v>
      </x:c>
      <x:c r="Q83" s="46" t="str">
        <x:v>DÜŞÜK-ORTA</x:v>
      </x:c>
      <x:c r="R83" s="46" t="str"/>
      <x:c r="S83" s="50" t="str">
        <x:v>Kaplama ΔLw değeri yalnız standart referans döşeme üzerinde test edilirse aktarılabilir.</x:v>
      </x:c>
    </x:row>
    <x:row r="84">
      <x:c r="A84" s="46" t="str">
        <x:v>FL-FIN-LINO-4</x:v>
      </x:c>
      <x:c r="B84" s="46" t="str">
        <x:v>Zemin kaplaması / levha</x:v>
      </x:c>
      <x:c r="C84" s="46" t="str">
        <x:v>Linolyum</x:v>
      </x:c>
      <x:c r="D84" s="46" t="str">
        <x:v>GENERIC</x:v>
      </x:c>
      <x:c r="E84" s="46" t="str">
        <x:v>LINO</x:v>
      </x:c>
      <x:c r="F84" s="70" t="str">
        <x:v>ENGINEERING_DEFAULT</x:v>
      </x:c>
      <x:c r="G84" s="54" t="n">
        <x:v>4</x:v>
      </x:c>
      <x:c r="H84" s="54" t="n">
        <x:v>1200</x:v>
      </x:c>
      <x:c r="I84" s="74" t="n">
        <x:f>IF(OR(G84="",H84=""),"",G84/1000*H84)</x:f>
        <x:v>4.8</x:v>
      </x:c>
      <x:c r="J84" s="90" t="n">
        <x:v>0.1</x:v>
      </x:c>
      <x:c r="K84" s="62" t="n">
        <x:v>0.4</x:v>
      </x:c>
      <x:c r="L84" s="62" t="n">
        <x:v>0.1</x:v>
      </x:c>
      <x:c r="M84" s="54"/>
      <x:c r="N84" s="54"/>
      <x:c r="O84" s="62" t="n">
        <x:v>0.17</x:v>
      </x:c>
      <x:c r="P84" s="46" t="str">
        <x:v>Üst kaplama veya kuru sistem levhası</x:v>
      </x:c>
      <x:c r="Q84" s="46" t="str">
        <x:v>DÜŞÜK-ORTA</x:v>
      </x:c>
      <x:c r="R84" s="46" t="str"/>
      <x:c r="S84" s="50" t="str">
        <x:v>Kaplama ΔLw değeri yalnız standart referans döşeme üzerinde test edilirse aktarılabilir.</x:v>
      </x:c>
    </x:row>
    <x:row r="85">
      <x:c r="A85" s="46" t="str">
        <x:v>FL-FIN-CORK-TILE-4</x:v>
      </x:c>
      <x:c r="B85" s="46" t="str">
        <x:v>Zemin kaplaması / levha</x:v>
      </x:c>
      <x:c r="C85" s="46" t="str">
        <x:v>Mantar karo</x:v>
      </x:c>
      <x:c r="D85" s="46" t="str">
        <x:v>GENERIC</x:v>
      </x:c>
      <x:c r="E85" s="46" t="str">
        <x:v>CORK-TILE</x:v>
      </x:c>
      <x:c r="F85" s="70" t="str">
        <x:v>ENGINEERING_DEFAULT</x:v>
      </x:c>
      <x:c r="G85" s="54" t="n">
        <x:v>4</x:v>
      </x:c>
      <x:c r="H85" s="54" t="n">
        <x:v>250</x:v>
      </x:c>
      <x:c r="I85" s="74" t="n">
        <x:f>IF(OR(G85="",H85=""),"",G85/1000*H85)</x:f>
        <x:v>1</x:v>
      </x:c>
      <x:c r="J85" s="90" t="n">
        <x:v>0.02</x:v>
      </x:c>
      <x:c r="K85" s="62" t="n">
        <x:v>0.3</x:v>
      </x:c>
      <x:c r="L85" s="62" t="n">
        <x:v>0.15</x:v>
      </x:c>
      <x:c r="M85" s="54"/>
      <x:c r="N85" s="54"/>
      <x:c r="O85" s="62" t="n">
        <x:v>0.05</x:v>
      </x:c>
      <x:c r="P85" s="46" t="str">
        <x:v>Üst kaplama veya kuru sistem levhası</x:v>
      </x:c>
      <x:c r="Q85" s="46" t="str">
        <x:v>DÜŞÜK-ORTA</x:v>
      </x:c>
      <x:c r="R85" s="46" t="str"/>
      <x:c r="S85" s="50" t="str">
        <x:v>Kaplama ΔLw değeri yalnız standart referans döşeme üzerinde test edilirse aktarılabilir.</x:v>
      </x:c>
    </x:row>
    <x:row r="86">
      <x:c r="A86" s="46" t="str">
        <x:v>FL-FIN-CORK-TILE-6</x:v>
      </x:c>
      <x:c r="B86" s="46" t="str">
        <x:v>Zemin kaplaması / levha</x:v>
      </x:c>
      <x:c r="C86" s="46" t="str">
        <x:v>Mantar karo</x:v>
      </x:c>
      <x:c r="D86" s="46" t="str">
        <x:v>GENERIC</x:v>
      </x:c>
      <x:c r="E86" s="46" t="str">
        <x:v>CORK-TILE</x:v>
      </x:c>
      <x:c r="F86" s="70" t="str">
        <x:v>ENGINEERING_DEFAULT</x:v>
      </x:c>
      <x:c r="G86" s="54" t="n">
        <x:v>6</x:v>
      </x:c>
      <x:c r="H86" s="54" t="n">
        <x:v>250</x:v>
      </x:c>
      <x:c r="I86" s="74" t="n">
        <x:f>IF(OR(G86="",H86=""),"",G86/1000*H86)</x:f>
        <x:v>1.5</x:v>
      </x:c>
      <x:c r="J86" s="90" t="n">
        <x:v>0.02</x:v>
      </x:c>
      <x:c r="K86" s="62" t="n">
        <x:v>0.3</x:v>
      </x:c>
      <x:c r="L86" s="62" t="n">
        <x:v>0.15</x:v>
      </x:c>
      <x:c r="M86" s="54"/>
      <x:c r="N86" s="54"/>
      <x:c r="O86" s="62" t="n">
        <x:v>0.05</x:v>
      </x:c>
      <x:c r="P86" s="46" t="str">
        <x:v>Üst kaplama veya kuru sistem levhası</x:v>
      </x:c>
      <x:c r="Q86" s="46" t="str">
        <x:v>DÜŞÜK-ORTA</x:v>
      </x:c>
      <x:c r="R86" s="46" t="str"/>
      <x:c r="S86" s="50" t="str">
        <x:v>Kaplama ΔLw değeri yalnız standart referans döşeme üzerinde test edilirse aktarılabilir.</x:v>
      </x:c>
    </x:row>
    <x:row r="87">
      <x:c r="A87" s="46" t="str">
        <x:v>FL-FIN-CORK-TILE-10</x:v>
      </x:c>
      <x:c r="B87" s="46" t="str">
        <x:v>Zemin kaplaması / levha</x:v>
      </x:c>
      <x:c r="C87" s="46" t="str">
        <x:v>Mantar karo</x:v>
      </x:c>
      <x:c r="D87" s="46" t="str">
        <x:v>GENERIC</x:v>
      </x:c>
      <x:c r="E87" s="46" t="str">
        <x:v>CORK-TILE</x:v>
      </x:c>
      <x:c r="F87" s="70" t="str">
        <x:v>ENGINEERING_DEFAULT</x:v>
      </x:c>
      <x:c r="G87" s="54" t="n">
        <x:v>10</x:v>
      </x:c>
      <x:c r="H87" s="54" t="n">
        <x:v>250</x:v>
      </x:c>
      <x:c r="I87" s="74" t="n">
        <x:f>IF(OR(G87="",H87=""),"",G87/1000*H87)</x:f>
        <x:v>2.5</x:v>
      </x:c>
      <x:c r="J87" s="90" t="n">
        <x:v>0.02</x:v>
      </x:c>
      <x:c r="K87" s="62" t="n">
        <x:v>0.3</x:v>
      </x:c>
      <x:c r="L87" s="62" t="n">
        <x:v>0.15</x:v>
      </x:c>
      <x:c r="M87" s="54"/>
      <x:c r="N87" s="54"/>
      <x:c r="O87" s="62" t="n">
        <x:v>0.05</x:v>
      </x:c>
      <x:c r="P87" s="46" t="str">
        <x:v>Üst kaplama veya kuru sistem levhası</x:v>
      </x:c>
      <x:c r="Q87" s="46" t="str">
        <x:v>DÜŞÜK-ORTA</x:v>
      </x:c>
      <x:c r="R87" s="46" t="str"/>
      <x:c r="S87" s="50" t="str">
        <x:v>Kaplama ΔLw değeri yalnız standart referans döşeme üzerinde test edilirse aktarılabilir.</x:v>
      </x:c>
    </x:row>
    <x:row r="88">
      <x:c r="A88" s="46" t="str">
        <x:v>FL-FIN-CARPET-5</x:v>
      </x:c>
      <x:c r="B88" s="46" t="str">
        <x:v>Zemin kaplaması / levha</x:v>
      </x:c>
      <x:c r="C88" s="46" t="str">
        <x:v>Tekstil halı</x:v>
      </x:c>
      <x:c r="D88" s="46" t="str">
        <x:v>GENERIC</x:v>
      </x:c>
      <x:c r="E88" s="46" t="str">
        <x:v>CARPET</x:v>
      </x:c>
      <x:c r="F88" s="70" t="str">
        <x:v>ENGINEERING_DEFAULT</x:v>
      </x:c>
      <x:c r="G88" s="54" t="n">
        <x:v>5</x:v>
      </x:c>
      <x:c r="H88" s="54" t="n">
        <x:v>300</x:v>
      </x:c>
      <x:c r="I88" s="74" t="n">
        <x:f>IF(OR(G88="",H88=""),"",G88/1000*H88)</x:f>
        <x:v>1.5</x:v>
      </x:c>
      <x:c r="J88" s="90" t="n">
        <x:v>0.005</x:v>
      </x:c>
      <x:c r="K88" s="62" t="n">
        <x:v>0.35</x:v>
      </x:c>
      <x:c r="L88" s="62" t="n">
        <x:v>0.25</x:v>
      </x:c>
      <x:c r="M88" s="54"/>
      <x:c r="N88" s="54"/>
      <x:c r="O88" s="62" t="n">
        <x:v>0.06</x:v>
      </x:c>
      <x:c r="P88" s="46" t="str">
        <x:v>Üst kaplama veya kuru sistem levhası</x:v>
      </x:c>
      <x:c r="Q88" s="46" t="str">
        <x:v>DÜŞÜK-ORTA</x:v>
      </x:c>
      <x:c r="R88" s="46" t="str"/>
      <x:c r="S88" s="50" t="str">
        <x:v>Kaplama ΔLw değeri yalnız standart referans döşeme üzerinde test edilirse aktarılabilir.</x:v>
      </x:c>
    </x:row>
    <x:row r="89">
      <x:c r="A89" s="46" t="str">
        <x:v>FL-FIN-CARPET-8</x:v>
      </x:c>
      <x:c r="B89" s="46" t="str">
        <x:v>Zemin kaplaması / levha</x:v>
      </x:c>
      <x:c r="C89" s="46" t="str">
        <x:v>Tekstil halı</x:v>
      </x:c>
      <x:c r="D89" s="46" t="str">
        <x:v>GENERIC</x:v>
      </x:c>
      <x:c r="E89" s="46" t="str">
        <x:v>CARPET</x:v>
      </x:c>
      <x:c r="F89" s="70" t="str">
        <x:v>ENGINEERING_DEFAULT</x:v>
      </x:c>
      <x:c r="G89" s="54" t="n">
        <x:v>8</x:v>
      </x:c>
      <x:c r="H89" s="54" t="n">
        <x:v>300</x:v>
      </x:c>
      <x:c r="I89" s="74" t="n">
        <x:f>IF(OR(G89="",H89=""),"",G89/1000*H89)</x:f>
        <x:v>2.4</x:v>
      </x:c>
      <x:c r="J89" s="90" t="n">
        <x:v>0.005</x:v>
      </x:c>
      <x:c r="K89" s="62" t="n">
        <x:v>0.35</x:v>
      </x:c>
      <x:c r="L89" s="62" t="n">
        <x:v>0.25</x:v>
      </x:c>
      <x:c r="M89" s="54"/>
      <x:c r="N89" s="54"/>
      <x:c r="O89" s="62" t="n">
        <x:v>0.06</x:v>
      </x:c>
      <x:c r="P89" s="46" t="str">
        <x:v>Üst kaplama veya kuru sistem levhası</x:v>
      </x:c>
      <x:c r="Q89" s="46" t="str">
        <x:v>DÜŞÜK-ORTA</x:v>
      </x:c>
      <x:c r="R89" s="46" t="str"/>
      <x:c r="S89" s="50" t="str">
        <x:v>Kaplama ΔLw değeri yalnız standart referans döşeme üzerinde test edilirse aktarılabilir.</x:v>
      </x:c>
    </x:row>
    <x:row r="90">
      <x:c r="A90" s="46" t="str">
        <x:v>FL-FIN-CARPET-10</x:v>
      </x:c>
      <x:c r="B90" s="46" t="str">
        <x:v>Zemin kaplaması / levha</x:v>
      </x:c>
      <x:c r="C90" s="46" t="str">
        <x:v>Tekstil halı</x:v>
      </x:c>
      <x:c r="D90" s="46" t="str">
        <x:v>GENERIC</x:v>
      </x:c>
      <x:c r="E90" s="46" t="str">
        <x:v>CARPET</x:v>
      </x:c>
      <x:c r="F90" s="70" t="str">
        <x:v>ENGINEERING_DEFAULT</x:v>
      </x:c>
      <x:c r="G90" s="54" t="n">
        <x:v>10</x:v>
      </x:c>
      <x:c r="H90" s="54" t="n">
        <x:v>300</x:v>
      </x:c>
      <x:c r="I90" s="74" t="n">
        <x:f>IF(OR(G90="",H90=""),"",G90/1000*H90)</x:f>
        <x:v>3</x:v>
      </x:c>
      <x:c r="J90" s="90" t="n">
        <x:v>0.005</x:v>
      </x:c>
      <x:c r="K90" s="62" t="n">
        <x:v>0.35</x:v>
      </x:c>
      <x:c r="L90" s="62" t="n">
        <x:v>0.25</x:v>
      </x:c>
      <x:c r="M90" s="54"/>
      <x:c r="N90" s="54"/>
      <x:c r="O90" s="62" t="n">
        <x:v>0.06</x:v>
      </x:c>
      <x:c r="P90" s="46" t="str">
        <x:v>Üst kaplama veya kuru sistem levhası</x:v>
      </x:c>
      <x:c r="Q90" s="46" t="str">
        <x:v>DÜŞÜK-ORTA</x:v>
      </x:c>
      <x:c r="R90" s="46" t="str"/>
      <x:c r="S90" s="50" t="str">
        <x:v>Kaplama ΔLw değeri yalnız standart referans döşeme üzerinde test edilirse aktarılabilir.</x:v>
      </x:c>
    </x:row>
    <x:row r="91">
      <x:c r="A91" s="46" t="str">
        <x:v>FL-FIN-CARPET-12</x:v>
      </x:c>
      <x:c r="B91" s="46" t="str">
        <x:v>Zemin kaplaması / levha</x:v>
      </x:c>
      <x:c r="C91" s="46" t="str">
        <x:v>Tekstil halı</x:v>
      </x:c>
      <x:c r="D91" s="46" t="str">
        <x:v>GENERIC</x:v>
      </x:c>
      <x:c r="E91" s="46" t="str">
        <x:v>CARPET</x:v>
      </x:c>
      <x:c r="F91" s="70" t="str">
        <x:v>ENGINEERING_DEFAULT</x:v>
      </x:c>
      <x:c r="G91" s="54" t="n">
        <x:v>12</x:v>
      </x:c>
      <x:c r="H91" s="54" t="n">
        <x:v>300</x:v>
      </x:c>
      <x:c r="I91" s="74" t="n">
        <x:f>IF(OR(G91="",H91=""),"",G91/1000*H91)</x:f>
        <x:v>3.6</x:v>
      </x:c>
      <x:c r="J91" s="90" t="n">
        <x:v>0.005</x:v>
      </x:c>
      <x:c r="K91" s="62" t="n">
        <x:v>0.35</x:v>
      </x:c>
      <x:c r="L91" s="62" t="n">
        <x:v>0.25</x:v>
      </x:c>
      <x:c r="M91" s="54"/>
      <x:c r="N91" s="54"/>
      <x:c r="O91" s="62" t="n">
        <x:v>0.06</x:v>
      </x:c>
      <x:c r="P91" s="46" t="str">
        <x:v>Üst kaplama veya kuru sistem levhası</x:v>
      </x:c>
      <x:c r="Q91" s="46" t="str">
        <x:v>DÜŞÜK-ORTA</x:v>
      </x:c>
      <x:c r="R91" s="46" t="str"/>
      <x:c r="S91" s="50" t="str">
        <x:v>Kaplama ΔLw değeri yalnız standart referans döşeme üzerinde test edilirse aktarılabilir.</x:v>
      </x:c>
    </x:row>
    <x:row r="92">
      <x:c r="A92" s="46" t="str">
        <x:v>FL-FIN-RUBBER-3</x:v>
      </x:c>
      <x:c r="B92" s="46" t="str">
        <x:v>Zemin kaplaması / levha</x:v>
      </x:c>
      <x:c r="C92" s="46" t="str">
        <x:v>Kauçuk zemin kaplaması</x:v>
      </x:c>
      <x:c r="D92" s="46" t="str">
        <x:v>GENERIC</x:v>
      </x:c>
      <x:c r="E92" s="46" t="str">
        <x:v>RUBBER</x:v>
      </x:c>
      <x:c r="F92" s="70" t="str">
        <x:v>ENGINEERING_DEFAULT</x:v>
      </x:c>
      <x:c r="G92" s="54" t="n">
        <x:v>3</x:v>
      </x:c>
      <x:c r="H92" s="54" t="n">
        <x:v>1200</x:v>
      </x:c>
      <x:c r="I92" s="74" t="n">
        <x:f>IF(OR(G92="",H92=""),"",G92/1000*H92)</x:f>
        <x:v>3.6</x:v>
      </x:c>
      <x:c r="J92" s="90" t="n">
        <x:v>0.01</x:v>
      </x:c>
      <x:c r="K92" s="62" t="n">
        <x:v>0.49</x:v>
      </x:c>
      <x:c r="L92" s="62" t="n">
        <x:v>0.18</x:v>
      </x:c>
      <x:c r="M92" s="54"/>
      <x:c r="N92" s="54"/>
      <x:c r="O92" s="62" t="n">
        <x:v>0.15</x:v>
      </x:c>
      <x:c r="P92" s="46" t="str">
        <x:v>Üst kaplama veya kuru sistem levhası</x:v>
      </x:c>
      <x:c r="Q92" s="46" t="str">
        <x:v>DÜŞÜK-ORTA</x:v>
      </x:c>
      <x:c r="R92" s="46" t="str"/>
      <x:c r="S92" s="50" t="str">
        <x:v>Kaplama ΔLw değeri yalnız standart referans döşeme üzerinde test edilirse aktarılabilir.</x:v>
      </x:c>
    </x:row>
    <x:row r="93">
      <x:c r="A93" s="46" t="str">
        <x:v>FL-FIN-RUBBER-5</x:v>
      </x:c>
      <x:c r="B93" s="46" t="str">
        <x:v>Zemin kaplaması / levha</x:v>
      </x:c>
      <x:c r="C93" s="46" t="str">
        <x:v>Kauçuk zemin kaplaması</x:v>
      </x:c>
      <x:c r="D93" s="46" t="str">
        <x:v>GENERIC</x:v>
      </x:c>
      <x:c r="E93" s="46" t="str">
        <x:v>RUBBER</x:v>
      </x:c>
      <x:c r="F93" s="70" t="str">
        <x:v>ENGINEERING_DEFAULT</x:v>
      </x:c>
      <x:c r="G93" s="54" t="n">
        <x:v>5</x:v>
      </x:c>
      <x:c r="H93" s="54" t="n">
        <x:v>1200</x:v>
      </x:c>
      <x:c r="I93" s="74" t="n">
        <x:f>IF(OR(G93="",H93=""),"",G93/1000*H93)</x:f>
        <x:v>6</x:v>
      </x:c>
      <x:c r="J93" s="90" t="n">
        <x:v>0.01</x:v>
      </x:c>
      <x:c r="K93" s="62" t="n">
        <x:v>0.49</x:v>
      </x:c>
      <x:c r="L93" s="62" t="n">
        <x:v>0.18</x:v>
      </x:c>
      <x:c r="M93" s="54"/>
      <x:c r="N93" s="54"/>
      <x:c r="O93" s="62" t="n">
        <x:v>0.15</x:v>
      </x:c>
      <x:c r="P93" s="46" t="str">
        <x:v>Üst kaplama veya kuru sistem levhası</x:v>
      </x:c>
      <x:c r="Q93" s="46" t="str">
        <x:v>DÜŞÜK-ORTA</x:v>
      </x:c>
      <x:c r="R93" s="46" t="str"/>
      <x:c r="S93" s="50" t="str">
        <x:v>Kaplama ΔLw değeri yalnız standart referans döşeme üzerinde test edilirse aktarılabilir.</x:v>
      </x:c>
    </x:row>
    <x:row r="94">
      <x:c r="A94" s="46" t="str">
        <x:v>FL-FIN-RUBBER-8</x:v>
      </x:c>
      <x:c r="B94" s="46" t="str">
        <x:v>Zemin kaplaması / levha</x:v>
      </x:c>
      <x:c r="C94" s="46" t="str">
        <x:v>Kauçuk zemin kaplaması</x:v>
      </x:c>
      <x:c r="D94" s="46" t="str">
        <x:v>GENERIC</x:v>
      </x:c>
      <x:c r="E94" s="46" t="str">
        <x:v>RUBBER</x:v>
      </x:c>
      <x:c r="F94" s="70" t="str">
        <x:v>ENGINEERING_DEFAULT</x:v>
      </x:c>
      <x:c r="G94" s="54" t="n">
        <x:v>8</x:v>
      </x:c>
      <x:c r="H94" s="54" t="n">
        <x:v>1200</x:v>
      </x:c>
      <x:c r="I94" s="74" t="n">
        <x:f>IF(OR(G94="",H94=""),"",G94/1000*H94)</x:f>
        <x:v>9.6</x:v>
      </x:c>
      <x:c r="J94" s="90" t="n">
        <x:v>0.01</x:v>
      </x:c>
      <x:c r="K94" s="62" t="n">
        <x:v>0.49</x:v>
      </x:c>
      <x:c r="L94" s="62" t="n">
        <x:v>0.18</x:v>
      </x:c>
      <x:c r="M94" s="54"/>
      <x:c r="N94" s="54"/>
      <x:c r="O94" s="62" t="n">
        <x:v>0.15</x:v>
      </x:c>
      <x:c r="P94" s="46" t="str">
        <x:v>Üst kaplama veya kuru sistem levhası</x:v>
      </x:c>
      <x:c r="Q94" s="46" t="str">
        <x:v>DÜŞÜK-ORTA</x:v>
      </x:c>
      <x:c r="R94" s="46" t="str"/>
      <x:c r="S94" s="50" t="str">
        <x:v>Kaplama ΔLw değeri yalnız standart referans döşeme üzerinde test edilirse aktarılabilir.</x:v>
      </x:c>
    </x:row>
    <x:row r="95">
      <x:c r="A95" s="46" t="str">
        <x:v>FL-FIN-RUBBER-10</x:v>
      </x:c>
      <x:c r="B95" s="46" t="str">
        <x:v>Zemin kaplaması / levha</x:v>
      </x:c>
      <x:c r="C95" s="46" t="str">
        <x:v>Kauçuk zemin kaplaması</x:v>
      </x:c>
      <x:c r="D95" s="46" t="str">
        <x:v>GENERIC</x:v>
      </x:c>
      <x:c r="E95" s="46" t="str">
        <x:v>RUBBER</x:v>
      </x:c>
      <x:c r="F95" s="70" t="str">
        <x:v>ENGINEERING_DEFAULT</x:v>
      </x:c>
      <x:c r="G95" s="54" t="n">
        <x:v>10</x:v>
      </x:c>
      <x:c r="H95" s="54" t="n">
        <x:v>1200</x:v>
      </x:c>
      <x:c r="I95" s="74" t="n">
        <x:f>IF(OR(G95="",H95=""),"",G95/1000*H95)</x:f>
        <x:v>12</x:v>
      </x:c>
      <x:c r="J95" s="90" t="n">
        <x:v>0.01</x:v>
      </x:c>
      <x:c r="K95" s="62" t="n">
        <x:v>0.49</x:v>
      </x:c>
      <x:c r="L95" s="62" t="n">
        <x:v>0.18</x:v>
      </x:c>
      <x:c r="M95" s="54"/>
      <x:c r="N95" s="54"/>
      <x:c r="O95" s="62" t="n">
        <x:v>0.15</x:v>
      </x:c>
      <x:c r="P95" s="46" t="str">
        <x:v>Üst kaplama veya kuru sistem levhası</x:v>
      </x:c>
      <x:c r="Q95" s="46" t="str">
        <x:v>DÜŞÜK-ORTA</x:v>
      </x:c>
      <x:c r="R95" s="46" t="str"/>
      <x:c r="S95" s="50" t="str">
        <x:v>Kaplama ΔLw değeri yalnız standart referans döşeme üzerinde test edilirse aktarılabilir.</x:v>
      </x:c>
    </x:row>
    <x:row r="96">
      <x:c r="A96" s="46" t="str">
        <x:v>FL-FIN-ADHESIVE-1</x:v>
      </x:c>
      <x:c r="B96" s="46" t="str">
        <x:v>Zemin kaplaması / levha</x:v>
      </x:c>
      <x:c r="C96" s="46" t="str">
        <x:v>Zemin yapıştırıcısı</x:v>
      </x:c>
      <x:c r="D96" s="46" t="str">
        <x:v>GENERIC</x:v>
      </x:c>
      <x:c r="E96" s="46" t="str">
        <x:v>ADHESIVE</x:v>
      </x:c>
      <x:c r="F96" s="70" t="str">
        <x:v>ENGINEERING_DEFAULT</x:v>
      </x:c>
      <x:c r="G96" s="54" t="n">
        <x:v>1</x:v>
      </x:c>
      <x:c r="H96" s="54" t="n">
        <x:v>1500</x:v>
      </x:c>
      <x:c r="I96" s="74" t="n">
        <x:f>IF(OR(G96="",H96=""),"",G96/1000*H96)</x:f>
        <x:v>1.5</x:v>
      </x:c>
      <x:c r="J96" s="90" t="n">
        <x:v>0.1</x:v>
      </x:c>
      <x:c r="K96" s="62" t="n">
        <x:v>0.4</x:v>
      </x:c>
      <x:c r="L96" s="62" t="n">
        <x:v>0.15</x:v>
      </x:c>
      <x:c r="M96" s="54"/>
      <x:c r="N96" s="54"/>
      <x:c r="O96" s="62" t="n">
        <x:v>0.4</x:v>
      </x:c>
      <x:c r="P96" s="46" t="str">
        <x:v>Üst kaplama veya kuru sistem levhası</x:v>
      </x:c>
      <x:c r="Q96" s="46" t="str">
        <x:v>DÜŞÜK-ORTA</x:v>
      </x:c>
      <x:c r="R96" s="46" t="str"/>
      <x:c r="S96" s="50" t="str">
        <x:v>Kaplama ΔLw değeri yalnız standart referans döşeme üzerinde test edilirse aktarılabilir.</x:v>
      </x:c>
    </x:row>
    <x:row r="97">
      <x:c r="A97" s="46" t="str">
        <x:v>FL-FIN-ADHESIVE-2</x:v>
      </x:c>
      <x:c r="B97" s="46" t="str">
        <x:v>Zemin kaplaması / levha</x:v>
      </x:c>
      <x:c r="C97" s="46" t="str">
        <x:v>Zemin yapıştırıcısı</x:v>
      </x:c>
      <x:c r="D97" s="46" t="str">
        <x:v>GENERIC</x:v>
      </x:c>
      <x:c r="E97" s="46" t="str">
        <x:v>ADHESIVE</x:v>
      </x:c>
      <x:c r="F97" s="70" t="str">
        <x:v>ENGINEERING_DEFAULT</x:v>
      </x:c>
      <x:c r="G97" s="54" t="n">
        <x:v>2</x:v>
      </x:c>
      <x:c r="H97" s="54" t="n">
        <x:v>1500</x:v>
      </x:c>
      <x:c r="I97" s="74" t="n">
        <x:f>IF(OR(G97="",H97=""),"",G97/1000*H97)</x:f>
        <x:v>3</x:v>
      </x:c>
      <x:c r="J97" s="90" t="n">
        <x:v>0.1</x:v>
      </x:c>
      <x:c r="K97" s="62" t="n">
        <x:v>0.4</x:v>
      </x:c>
      <x:c r="L97" s="62" t="n">
        <x:v>0.15</x:v>
      </x:c>
      <x:c r="M97" s="54"/>
      <x:c r="N97" s="54"/>
      <x:c r="O97" s="62" t="n">
        <x:v>0.4</x:v>
      </x:c>
      <x:c r="P97" s="46" t="str">
        <x:v>Üst kaplama veya kuru sistem levhası</x:v>
      </x:c>
      <x:c r="Q97" s="46" t="str">
        <x:v>DÜŞÜK-ORTA</x:v>
      </x:c>
      <x:c r="R97" s="46" t="str"/>
      <x:c r="S97" s="50" t="str">
        <x:v>Kaplama ΔLw değeri yalnız standart referans döşeme üzerinde test edilirse aktarılabilir.</x:v>
      </x:c>
    </x:row>
    <x:row r="98">
      <x:c r="A98" s="46" t="str">
        <x:v>FL-FIN-ADHESIVE-3</x:v>
      </x:c>
      <x:c r="B98" s="46" t="str">
        <x:v>Zemin kaplaması / levha</x:v>
      </x:c>
      <x:c r="C98" s="46" t="str">
        <x:v>Zemin yapıştırıcısı</x:v>
      </x:c>
      <x:c r="D98" s="46" t="str">
        <x:v>GENERIC</x:v>
      </x:c>
      <x:c r="E98" s="46" t="str">
        <x:v>ADHESIVE</x:v>
      </x:c>
      <x:c r="F98" s="70" t="str">
        <x:v>ENGINEERING_DEFAULT</x:v>
      </x:c>
      <x:c r="G98" s="54" t="n">
        <x:v>3</x:v>
      </x:c>
      <x:c r="H98" s="54" t="n">
        <x:v>1500</x:v>
      </x:c>
      <x:c r="I98" s="74" t="n">
        <x:f>IF(OR(G98="",H98=""),"",G98/1000*H98)</x:f>
        <x:v>4.5</x:v>
      </x:c>
      <x:c r="J98" s="90" t="n">
        <x:v>0.1</x:v>
      </x:c>
      <x:c r="K98" s="62" t="n">
        <x:v>0.4</x:v>
      </x:c>
      <x:c r="L98" s="62" t="n">
        <x:v>0.15</x:v>
      </x:c>
      <x:c r="M98" s="54"/>
      <x:c r="N98" s="54"/>
      <x:c r="O98" s="62" t="n">
        <x:v>0.4</x:v>
      </x:c>
      <x:c r="P98" s="46" t="str">
        <x:v>Üst kaplama veya kuru sistem levhası</x:v>
      </x:c>
      <x:c r="Q98" s="46" t="str">
        <x:v>DÜŞÜK-ORTA</x:v>
      </x:c>
      <x:c r="R98" s="46" t="str"/>
      <x:c r="S98" s="50" t="str">
        <x:v>Kaplama ΔLw değeri yalnız standart referans döşeme üzerinde test edilirse aktarılabilir.</x:v>
      </x:c>
    </x:row>
    <x:row r="99">
      <x:c r="A99" s="46" t="str">
        <x:v>FL-FIN-ADHESIVE-5</x:v>
      </x:c>
      <x:c r="B99" s="46" t="str">
        <x:v>Zemin kaplaması / levha</x:v>
      </x:c>
      <x:c r="C99" s="46" t="str">
        <x:v>Zemin yapıştırıcısı</x:v>
      </x:c>
      <x:c r="D99" s="46" t="str">
        <x:v>GENERIC</x:v>
      </x:c>
      <x:c r="E99" s="46" t="str">
        <x:v>ADHESIVE</x:v>
      </x:c>
      <x:c r="F99" s="70" t="str">
        <x:v>ENGINEERING_DEFAULT</x:v>
      </x:c>
      <x:c r="G99" s="54" t="n">
        <x:v>5</x:v>
      </x:c>
      <x:c r="H99" s="54" t="n">
        <x:v>1500</x:v>
      </x:c>
      <x:c r="I99" s="74" t="n">
        <x:f>IF(OR(G99="",H99=""),"",G99/1000*H99)</x:f>
        <x:v>7.5</x:v>
      </x:c>
      <x:c r="J99" s="90" t="n">
        <x:v>0.1</x:v>
      </x:c>
      <x:c r="K99" s="62" t="n">
        <x:v>0.4</x:v>
      </x:c>
      <x:c r="L99" s="62" t="n">
        <x:v>0.15</x:v>
      </x:c>
      <x:c r="M99" s="54"/>
      <x:c r="N99" s="54"/>
      <x:c r="O99" s="62" t="n">
        <x:v>0.4</x:v>
      </x:c>
      <x:c r="P99" s="46" t="str">
        <x:v>Üst kaplama veya kuru sistem levhası</x:v>
      </x:c>
      <x:c r="Q99" s="46" t="str">
        <x:v>DÜŞÜK-ORTA</x:v>
      </x:c>
      <x:c r="R99" s="46" t="str"/>
      <x:c r="S99" s="50" t="str">
        <x:v>Kaplama ΔLw değeri yalnız standart referans döşeme üzerinde test edilirse aktarılabilir.</x:v>
      </x:c>
    </x:row>
    <x:row r="100">
      <x:c r="A100" s="46" t="str">
        <x:v>FL-UND-PE-FOAM-2</x:v>
      </x:c>
      <x:c r="B100" s="46" t="str">
        <x:v>Esnek altlık</x:v>
      </x:c>
      <x:c r="C100" s="46" t="str">
        <x:v>Kapalı hücre PE köpük</x:v>
      </x:c>
      <x:c r="D100" s="46" t="str">
        <x:v>GENERIC</x:v>
      </x:c>
      <x:c r="E100" s="46" t="str">
        <x:v>PE-FOAM</x:v>
      </x:c>
      <x:c r="F100" s="70" t="str">
        <x:v>ENGINEERING_DEFAULT</x:v>
      </x:c>
      <x:c r="G100" s="54" t="n">
        <x:v>2</x:v>
      </x:c>
      <x:c r="H100" s="54" t="n">
        <x:v>30</x:v>
      </x:c>
      <x:c r="I100" s="74" t="n">
        <x:f>IF(OR(G100="",H100=""),"",G100/1000*H100)</x:f>
        <x:v>0.06</x:v>
      </x:c>
      <x:c r="J100" s="90" t="n">
        <x:v>0.0015</x:v>
      </x:c>
      <x:c r="K100" s="62" t="n">
        <x:v>0.49</x:v>
      </x:c>
      <x:c r="L100" s="62" t="n">
        <x:v>0.18</x:v>
      </x:c>
      <x:c r="M100" s="54" t="n">
        <x:v>80</x:v>
      </x:c>
      <x:c r="N100" s="54" t="n">
        <x:v>0.5</x:v>
      </x:c>
      <x:c r="O100" s="62" t="n">
        <x:v>0.04</x:v>
      </x:c>
      <x:c r="P100" s="46" t="str">
        <x:v>Kaplama altı veya yüzer şap altı</x:v>
      </x:c>
      <x:c r="Q100" s="46" t="str">
        <x:v>DÜŞÜK</x:v>
      </x:c>
      <x:c r="R100" s="46" t="str"/>
      <x:c r="S100" s="50" t="str">
        <x:v>s' nominal başlangıç değeridir; EN 29052-1 / ISO 9052-1 test verisi tercih edilmelidir.</x:v>
      </x:c>
    </x:row>
    <x:row r="101">
      <x:c r="A101" s="46" t="str">
        <x:v>FL-UND-PE-FOAM-3</x:v>
      </x:c>
      <x:c r="B101" s="46" t="str">
        <x:v>Esnek altlık</x:v>
      </x:c>
      <x:c r="C101" s="46" t="str">
        <x:v>Kapalı hücre PE köpük</x:v>
      </x:c>
      <x:c r="D101" s="46" t="str">
        <x:v>GENERIC</x:v>
      </x:c>
      <x:c r="E101" s="46" t="str">
        <x:v>PE-FOAM</x:v>
      </x:c>
      <x:c r="F101" s="70" t="str">
        <x:v>ENGINEERING_DEFAULT</x:v>
      </x:c>
      <x:c r="G101" s="54" t="n">
        <x:v>3</x:v>
      </x:c>
      <x:c r="H101" s="54" t="n">
        <x:v>30</x:v>
      </x:c>
      <x:c r="I101" s="74" t="n">
        <x:f>IF(OR(G101="",H101=""),"",G101/1000*H101)</x:f>
        <x:v>0.09</x:v>
      </x:c>
      <x:c r="J101" s="90" t="n">
        <x:v>0.0015</x:v>
      </x:c>
      <x:c r="K101" s="62" t="n">
        <x:v>0.49</x:v>
      </x:c>
      <x:c r="L101" s="62" t="n">
        <x:v>0.18</x:v>
      </x:c>
      <x:c r="M101" s="54" t="n">
        <x:v>80</x:v>
      </x:c>
      <x:c r="N101" s="54" t="n">
        <x:v>0.5</x:v>
      </x:c>
      <x:c r="O101" s="62" t="n">
        <x:v>0.04</x:v>
      </x:c>
      <x:c r="P101" s="46" t="str">
        <x:v>Kaplama altı veya yüzer şap altı</x:v>
      </x:c>
      <x:c r="Q101" s="46" t="str">
        <x:v>DÜŞÜK</x:v>
      </x:c>
      <x:c r="R101" s="46" t="str"/>
      <x:c r="S101" s="50" t="str">
        <x:v>s' nominal başlangıç değeridir; EN 29052-1 / ISO 9052-1 test verisi tercih edilmelidir.</x:v>
      </x:c>
    </x:row>
    <x:row r="102">
      <x:c r="A102" s="46" t="str">
        <x:v>FL-UND-PE-FOAM-5</x:v>
      </x:c>
      <x:c r="B102" s="46" t="str">
        <x:v>Esnek altlık</x:v>
      </x:c>
      <x:c r="C102" s="46" t="str">
        <x:v>Kapalı hücre PE köpük</x:v>
      </x:c>
      <x:c r="D102" s="46" t="str">
        <x:v>GENERIC</x:v>
      </x:c>
      <x:c r="E102" s="46" t="str">
        <x:v>PE-FOAM</x:v>
      </x:c>
      <x:c r="F102" s="70" t="str">
        <x:v>ENGINEERING_DEFAULT</x:v>
      </x:c>
      <x:c r="G102" s="54" t="n">
        <x:v>5</x:v>
      </x:c>
      <x:c r="H102" s="54" t="n">
        <x:v>30</x:v>
      </x:c>
      <x:c r="I102" s="74" t="n">
        <x:f>IF(OR(G102="",H102=""),"",G102/1000*H102)</x:f>
        <x:v>0.15</x:v>
      </x:c>
      <x:c r="J102" s="90" t="n">
        <x:v>0.0015</x:v>
      </x:c>
      <x:c r="K102" s="62" t="n">
        <x:v>0.49</x:v>
      </x:c>
      <x:c r="L102" s="62" t="n">
        <x:v>0.18</x:v>
      </x:c>
      <x:c r="M102" s="54" t="n">
        <x:v>80</x:v>
      </x:c>
      <x:c r="N102" s="54" t="n">
        <x:v>0.5</x:v>
      </x:c>
      <x:c r="O102" s="62" t="n">
        <x:v>0.04</x:v>
      </x:c>
      <x:c r="P102" s="46" t="str">
        <x:v>Kaplama altı veya yüzer şap altı</x:v>
      </x:c>
      <x:c r="Q102" s="46" t="str">
        <x:v>DÜŞÜK</x:v>
      </x:c>
      <x:c r="R102" s="46" t="str"/>
      <x:c r="S102" s="50" t="str">
        <x:v>s' nominal başlangıç değeridir; EN 29052-1 / ISO 9052-1 test verisi tercih edilmelidir.</x:v>
      </x:c>
    </x:row>
    <x:row r="103">
      <x:c r="A103" s="46" t="str">
        <x:v>FL-UND-PE-FOAM-10</x:v>
      </x:c>
      <x:c r="B103" s="46" t="str">
        <x:v>Esnek altlık</x:v>
      </x:c>
      <x:c r="C103" s="46" t="str">
        <x:v>Kapalı hücre PE köpük</x:v>
      </x:c>
      <x:c r="D103" s="46" t="str">
        <x:v>GENERIC</x:v>
      </x:c>
      <x:c r="E103" s="46" t="str">
        <x:v>PE-FOAM</x:v>
      </x:c>
      <x:c r="F103" s="70" t="str">
        <x:v>ENGINEERING_DEFAULT</x:v>
      </x:c>
      <x:c r="G103" s="54" t="n">
        <x:v>10</x:v>
      </x:c>
      <x:c r="H103" s="54" t="n">
        <x:v>30</x:v>
      </x:c>
      <x:c r="I103" s="74" t="n">
        <x:f>IF(OR(G103="",H103=""),"",G103/1000*H103)</x:f>
        <x:v>0.3</x:v>
      </x:c>
      <x:c r="J103" s="90" t="n">
        <x:v>0.0015</x:v>
      </x:c>
      <x:c r="K103" s="62" t="n">
        <x:v>0.49</x:v>
      </x:c>
      <x:c r="L103" s="62" t="n">
        <x:v>0.18</x:v>
      </x:c>
      <x:c r="M103" s="54" t="n">
        <x:v>80</x:v>
      </x:c>
      <x:c r="N103" s="54" t="n">
        <x:v>0.5</x:v>
      </x:c>
      <x:c r="O103" s="62" t="n">
        <x:v>0.04</x:v>
      </x:c>
      <x:c r="P103" s="46" t="str">
        <x:v>Kaplama altı veya yüzer şap altı</x:v>
      </x:c>
      <x:c r="Q103" s="46" t="str">
        <x:v>DÜŞÜK</x:v>
      </x:c>
      <x:c r="R103" s="46" t="str"/>
      <x:c r="S103" s="50" t="str">
        <x:v>s' nominal başlangıç değeridir; EN 29052-1 / ISO 9052-1 test verisi tercih edilmelidir.</x:v>
      </x:c>
    </x:row>
    <x:row r="104">
      <x:c r="A104" s="46" t="str">
        <x:v>FL-UND-EVA-2</x:v>
      </x:c>
      <x:c r="B104" s="46" t="str">
        <x:v>Esnek altlık</x:v>
      </x:c>
      <x:c r="C104" s="46" t="str">
        <x:v>EVA köpük</x:v>
      </x:c>
      <x:c r="D104" s="46" t="str">
        <x:v>GENERIC</x:v>
      </x:c>
      <x:c r="E104" s="46" t="str">
        <x:v>EVA</x:v>
      </x:c>
      <x:c r="F104" s="70" t="str">
        <x:v>ENGINEERING_DEFAULT</x:v>
      </x:c>
      <x:c r="G104" s="54" t="n">
        <x:v>2</x:v>
      </x:c>
      <x:c r="H104" s="54" t="n">
        <x:v>80</x:v>
      </x:c>
      <x:c r="I104" s="74" t="n">
        <x:f>IF(OR(G104="",H104=""),"",G104/1000*H104)</x:f>
        <x:v>0.16</x:v>
      </x:c>
      <x:c r="J104" s="90" t="n">
        <x:v>0.003</x:v>
      </x:c>
      <x:c r="K104" s="62" t="n">
        <x:v>0.49</x:v>
      </x:c>
      <x:c r="L104" s="62" t="n">
        <x:v>0.2</x:v>
      </x:c>
      <x:c r="M104" s="54" t="n">
        <x:v>60</x:v>
      </x:c>
      <x:c r="N104" s="54" t="n">
        <x:v>1</x:v>
      </x:c>
      <x:c r="O104" s="62" t="n">
        <x:v>0.045</x:v>
      </x:c>
      <x:c r="P104" s="46" t="str">
        <x:v>Kaplama altı veya yüzer şap altı</x:v>
      </x:c>
      <x:c r="Q104" s="46" t="str">
        <x:v>DÜŞÜK</x:v>
      </x:c>
      <x:c r="R104" s="46" t="str"/>
      <x:c r="S104" s="50" t="str">
        <x:v>s' nominal başlangıç değeridir; EN 29052-1 / ISO 9052-1 test verisi tercih edilmelidir.</x:v>
      </x:c>
    </x:row>
    <x:row r="105">
      <x:c r="A105" s="46" t="str">
        <x:v>FL-UND-EVA-3</x:v>
      </x:c>
      <x:c r="B105" s="46" t="str">
        <x:v>Esnek altlık</x:v>
      </x:c>
      <x:c r="C105" s="46" t="str">
        <x:v>EVA köpük</x:v>
      </x:c>
      <x:c r="D105" s="46" t="str">
        <x:v>GENERIC</x:v>
      </x:c>
      <x:c r="E105" s="46" t="str">
        <x:v>EVA</x:v>
      </x:c>
      <x:c r="F105" s="70" t="str">
        <x:v>ENGINEERING_DEFAULT</x:v>
      </x:c>
      <x:c r="G105" s="54" t="n">
        <x:v>3</x:v>
      </x:c>
      <x:c r="H105" s="54" t="n">
        <x:v>80</x:v>
      </x:c>
      <x:c r="I105" s="74" t="n">
        <x:f>IF(OR(G105="",H105=""),"",G105/1000*H105)</x:f>
        <x:v>0.24</x:v>
      </x:c>
      <x:c r="J105" s="90" t="n">
        <x:v>0.003</x:v>
      </x:c>
      <x:c r="K105" s="62" t="n">
        <x:v>0.49</x:v>
      </x:c>
      <x:c r="L105" s="62" t="n">
        <x:v>0.2</x:v>
      </x:c>
      <x:c r="M105" s="54" t="n">
        <x:v>60</x:v>
      </x:c>
      <x:c r="N105" s="54" t="n">
        <x:v>1</x:v>
      </x:c>
      <x:c r="O105" s="62" t="n">
        <x:v>0.045</x:v>
      </x:c>
      <x:c r="P105" s="46" t="str">
        <x:v>Kaplama altı veya yüzer şap altı</x:v>
      </x:c>
      <x:c r="Q105" s="46" t="str">
        <x:v>DÜŞÜK</x:v>
      </x:c>
      <x:c r="R105" s="46" t="str"/>
      <x:c r="S105" s="50" t="str">
        <x:v>s' nominal başlangıç değeridir; EN 29052-1 / ISO 9052-1 test verisi tercih edilmelidir.</x:v>
      </x:c>
    </x:row>
    <x:row r="106">
      <x:c r="A106" s="46" t="str">
        <x:v>FL-UND-EVA-5</x:v>
      </x:c>
      <x:c r="B106" s="46" t="str">
        <x:v>Esnek altlık</x:v>
      </x:c>
      <x:c r="C106" s="46" t="str">
        <x:v>EVA köpük</x:v>
      </x:c>
      <x:c r="D106" s="46" t="str">
        <x:v>GENERIC</x:v>
      </x:c>
      <x:c r="E106" s="46" t="str">
        <x:v>EVA</x:v>
      </x:c>
      <x:c r="F106" s="70" t="str">
        <x:v>ENGINEERING_DEFAULT</x:v>
      </x:c>
      <x:c r="G106" s="54" t="n">
        <x:v>5</x:v>
      </x:c>
      <x:c r="H106" s="54" t="n">
        <x:v>80</x:v>
      </x:c>
      <x:c r="I106" s="74" t="n">
        <x:f>IF(OR(G106="",H106=""),"",G106/1000*H106)</x:f>
        <x:v>0.4</x:v>
      </x:c>
      <x:c r="J106" s="90" t="n">
        <x:v>0.003</x:v>
      </x:c>
      <x:c r="K106" s="62" t="n">
        <x:v>0.49</x:v>
      </x:c>
      <x:c r="L106" s="62" t="n">
        <x:v>0.2</x:v>
      </x:c>
      <x:c r="M106" s="54" t="n">
        <x:v>60</x:v>
      </x:c>
      <x:c r="N106" s="54" t="n">
        <x:v>1</x:v>
      </x:c>
      <x:c r="O106" s="62" t="n">
        <x:v>0.045</x:v>
      </x:c>
      <x:c r="P106" s="46" t="str">
        <x:v>Kaplama altı veya yüzer şap altı</x:v>
      </x:c>
      <x:c r="Q106" s="46" t="str">
        <x:v>DÜŞÜK</x:v>
      </x:c>
      <x:c r="R106" s="46" t="str"/>
      <x:c r="S106" s="50" t="str">
        <x:v>s' nominal başlangıç değeridir; EN 29052-1 / ISO 9052-1 test verisi tercih edilmelidir.</x:v>
      </x:c>
    </x:row>
    <x:row r="107">
      <x:c r="A107" s="46" t="str">
        <x:v>FL-UND-EVA-10</x:v>
      </x:c>
      <x:c r="B107" s="46" t="str">
        <x:v>Esnek altlık</x:v>
      </x:c>
      <x:c r="C107" s="46" t="str">
        <x:v>EVA köpük</x:v>
      </x:c>
      <x:c r="D107" s="46" t="str">
        <x:v>GENERIC</x:v>
      </x:c>
      <x:c r="E107" s="46" t="str">
        <x:v>EVA</x:v>
      </x:c>
      <x:c r="F107" s="70" t="str">
        <x:v>ENGINEERING_DEFAULT</x:v>
      </x:c>
      <x:c r="G107" s="54" t="n">
        <x:v>10</x:v>
      </x:c>
      <x:c r="H107" s="54" t="n">
        <x:v>80</x:v>
      </x:c>
      <x:c r="I107" s="74" t="n">
        <x:f>IF(OR(G107="",H107=""),"",G107/1000*H107)</x:f>
        <x:v>0.8</x:v>
      </x:c>
      <x:c r="J107" s="90" t="n">
        <x:v>0.003</x:v>
      </x:c>
      <x:c r="K107" s="62" t="n">
        <x:v>0.49</x:v>
      </x:c>
      <x:c r="L107" s="62" t="n">
        <x:v>0.2</x:v>
      </x:c>
      <x:c r="M107" s="54" t="n">
        <x:v>60</x:v>
      </x:c>
      <x:c r="N107" s="54" t="n">
        <x:v>1</x:v>
      </x:c>
      <x:c r="O107" s="62" t="n">
        <x:v>0.045</x:v>
      </x:c>
      <x:c r="P107" s="46" t="str">
        <x:v>Kaplama altı veya yüzer şap altı</x:v>
      </x:c>
      <x:c r="Q107" s="46" t="str">
        <x:v>DÜŞÜK</x:v>
      </x:c>
      <x:c r="R107" s="46" t="str"/>
      <x:c r="S107" s="50" t="str">
        <x:v>s' nominal başlangıç değeridir; EN 29052-1 / ISO 9052-1 test verisi tercih edilmelidir.</x:v>
      </x:c>
    </x:row>
    <x:row r="108">
      <x:c r="A108" s="46" t="str">
        <x:v>FL-UND-IXPE-2</x:v>
      </x:c>
      <x:c r="B108" s="46" t="str">
        <x:v>Esnek altlık</x:v>
      </x:c>
      <x:c r="C108" s="46" t="str">
        <x:v>Çapraz bağlı PE köpük</x:v>
      </x:c>
      <x:c r="D108" s="46" t="str">
        <x:v>GENERIC</x:v>
      </x:c>
      <x:c r="E108" s="46" t="str">
        <x:v>IXPE</x:v>
      </x:c>
      <x:c r="F108" s="70" t="str">
        <x:v>ENGINEERING_DEFAULT</x:v>
      </x:c>
      <x:c r="G108" s="54" t="n">
        <x:v>2</x:v>
      </x:c>
      <x:c r="H108" s="54" t="n">
        <x:v>35</x:v>
      </x:c>
      <x:c r="I108" s="74" t="n">
        <x:f>IF(OR(G108="",H108=""),"",G108/1000*H108)</x:f>
        <x:v>0.07</x:v>
      </x:c>
      <x:c r="J108" s="90" t="n">
        <x:v>0.002</x:v>
      </x:c>
      <x:c r="K108" s="62" t="n">
        <x:v>0.49</x:v>
      </x:c>
      <x:c r="L108" s="62" t="n">
        <x:v>0.18</x:v>
      </x:c>
      <x:c r="M108" s="54" t="n">
        <x:v>70</x:v>
      </x:c>
      <x:c r="N108" s="54" t="n">
        <x:v>0.7</x:v>
      </x:c>
      <x:c r="O108" s="62" t="n">
        <x:v>0.04</x:v>
      </x:c>
      <x:c r="P108" s="46" t="str">
        <x:v>Kaplama altı veya yüzer şap altı</x:v>
      </x:c>
      <x:c r="Q108" s="46" t="str">
        <x:v>DÜŞÜK</x:v>
      </x:c>
      <x:c r="R108" s="46" t="str"/>
      <x:c r="S108" s="50" t="str">
        <x:v>s' nominal başlangıç değeridir; EN 29052-1 / ISO 9052-1 test verisi tercih edilmelidir.</x:v>
      </x:c>
    </x:row>
    <x:row r="109">
      <x:c r="A109" s="46" t="str">
        <x:v>FL-UND-IXPE-3</x:v>
      </x:c>
      <x:c r="B109" s="46" t="str">
        <x:v>Esnek altlık</x:v>
      </x:c>
      <x:c r="C109" s="46" t="str">
        <x:v>Çapraz bağlı PE köpük</x:v>
      </x:c>
      <x:c r="D109" s="46" t="str">
        <x:v>GENERIC</x:v>
      </x:c>
      <x:c r="E109" s="46" t="str">
        <x:v>IXPE</x:v>
      </x:c>
      <x:c r="F109" s="70" t="str">
        <x:v>ENGINEERING_DEFAULT</x:v>
      </x:c>
      <x:c r="G109" s="54" t="n">
        <x:v>3</x:v>
      </x:c>
      <x:c r="H109" s="54" t="n">
        <x:v>35</x:v>
      </x:c>
      <x:c r="I109" s="74" t="n">
        <x:f>IF(OR(G109="",H109=""),"",G109/1000*H109)</x:f>
        <x:v>0.105</x:v>
      </x:c>
      <x:c r="J109" s="90" t="n">
        <x:v>0.002</x:v>
      </x:c>
      <x:c r="K109" s="62" t="n">
        <x:v>0.49</x:v>
      </x:c>
      <x:c r="L109" s="62" t="n">
        <x:v>0.18</x:v>
      </x:c>
      <x:c r="M109" s="54" t="n">
        <x:v>70</x:v>
      </x:c>
      <x:c r="N109" s="54" t="n">
        <x:v>0.7</x:v>
      </x:c>
      <x:c r="O109" s="62" t="n">
        <x:v>0.04</x:v>
      </x:c>
      <x:c r="P109" s="46" t="str">
        <x:v>Kaplama altı veya yüzer şap altı</x:v>
      </x:c>
      <x:c r="Q109" s="46" t="str">
        <x:v>DÜŞÜK</x:v>
      </x:c>
      <x:c r="R109" s="46" t="str"/>
      <x:c r="S109" s="50" t="str">
        <x:v>s' nominal başlangıç değeridir; EN 29052-1 / ISO 9052-1 test verisi tercih edilmelidir.</x:v>
      </x:c>
    </x:row>
    <x:row r="110">
      <x:c r="A110" s="46" t="str">
        <x:v>FL-UND-IXPE-5</x:v>
      </x:c>
      <x:c r="B110" s="46" t="str">
        <x:v>Esnek altlık</x:v>
      </x:c>
      <x:c r="C110" s="46" t="str">
        <x:v>Çapraz bağlı PE köpük</x:v>
      </x:c>
      <x:c r="D110" s="46" t="str">
        <x:v>GENERIC</x:v>
      </x:c>
      <x:c r="E110" s="46" t="str">
        <x:v>IXPE</x:v>
      </x:c>
      <x:c r="F110" s="70" t="str">
        <x:v>ENGINEERING_DEFAULT</x:v>
      </x:c>
      <x:c r="G110" s="54" t="n">
        <x:v>5</x:v>
      </x:c>
      <x:c r="H110" s="54" t="n">
        <x:v>35</x:v>
      </x:c>
      <x:c r="I110" s="74" t="n">
        <x:f>IF(OR(G110="",H110=""),"",G110/1000*H110)</x:f>
        <x:v>0.17500000000000002</x:v>
      </x:c>
      <x:c r="J110" s="90" t="n">
        <x:v>0.002</x:v>
      </x:c>
      <x:c r="K110" s="62" t="n">
        <x:v>0.49</x:v>
      </x:c>
      <x:c r="L110" s="62" t="n">
        <x:v>0.18</x:v>
      </x:c>
      <x:c r="M110" s="54" t="n">
        <x:v>70</x:v>
      </x:c>
      <x:c r="N110" s="54" t="n">
        <x:v>0.7</x:v>
      </x:c>
      <x:c r="O110" s="62" t="n">
        <x:v>0.04</x:v>
      </x:c>
      <x:c r="P110" s="46" t="str">
        <x:v>Kaplama altı veya yüzer şap altı</x:v>
      </x:c>
      <x:c r="Q110" s="46" t="str">
        <x:v>DÜŞÜK</x:v>
      </x:c>
      <x:c r="R110" s="46" t="str"/>
      <x:c r="S110" s="50" t="str">
        <x:v>s' nominal başlangıç değeridir; EN 29052-1 / ISO 9052-1 test verisi tercih edilmelidir.</x:v>
      </x:c>
    </x:row>
    <x:row r="111">
      <x:c r="A111" s="46" t="str">
        <x:v>FL-UND-IXPE-10</x:v>
      </x:c>
      <x:c r="B111" s="46" t="str">
        <x:v>Esnek altlık</x:v>
      </x:c>
      <x:c r="C111" s="46" t="str">
        <x:v>Çapraz bağlı PE köpük</x:v>
      </x:c>
      <x:c r="D111" s="46" t="str">
        <x:v>GENERIC</x:v>
      </x:c>
      <x:c r="E111" s="46" t="str">
        <x:v>IXPE</x:v>
      </x:c>
      <x:c r="F111" s="70" t="str">
        <x:v>ENGINEERING_DEFAULT</x:v>
      </x:c>
      <x:c r="G111" s="54" t="n">
        <x:v>10</x:v>
      </x:c>
      <x:c r="H111" s="54" t="n">
        <x:v>35</x:v>
      </x:c>
      <x:c r="I111" s="74" t="n">
        <x:f>IF(OR(G111="",H111=""),"",G111/1000*H111)</x:f>
        <x:v>0.35000000000000003</x:v>
      </x:c>
      <x:c r="J111" s="90" t="n">
        <x:v>0.002</x:v>
      </x:c>
      <x:c r="K111" s="62" t="n">
        <x:v>0.49</x:v>
      </x:c>
      <x:c r="L111" s="62" t="n">
        <x:v>0.18</x:v>
      </x:c>
      <x:c r="M111" s="54" t="n">
        <x:v>70</x:v>
      </x:c>
      <x:c r="N111" s="54" t="n">
        <x:v>0.7</x:v>
      </x:c>
      <x:c r="O111" s="62" t="n">
        <x:v>0.04</x:v>
      </x:c>
      <x:c r="P111" s="46" t="str">
        <x:v>Kaplama altı veya yüzer şap altı</x:v>
      </x:c>
      <x:c r="Q111" s="46" t="str">
        <x:v>DÜŞÜK</x:v>
      </x:c>
      <x:c r="R111" s="46" t="str"/>
      <x:c r="S111" s="50" t="str">
        <x:v>s' nominal başlangıç değeridir; EN 29052-1 / ISO 9052-1 test verisi tercih edilmelidir.</x:v>
      </x:c>
    </x:row>
    <x:row r="112">
      <x:c r="A112" s="46" t="str">
        <x:v>FL-UND-CORK-3</x:v>
      </x:c>
      <x:c r="B112" s="46" t="str">
        <x:v>Esnek altlık</x:v>
      </x:c>
      <x:c r="C112" s="46" t="str">
        <x:v>Mantar şilte</x:v>
      </x:c>
      <x:c r="D112" s="46" t="str">
        <x:v>GENERIC</x:v>
      </x:c>
      <x:c r="E112" s="46" t="str">
        <x:v>CORK</x:v>
      </x:c>
      <x:c r="F112" s="70" t="str">
        <x:v>ENGINEERING_DEFAULT</x:v>
      </x:c>
      <x:c r="G112" s="54" t="n">
        <x:v>3</x:v>
      </x:c>
      <x:c r="H112" s="54" t="n">
        <x:v>220</x:v>
      </x:c>
      <x:c r="I112" s="74" t="n">
        <x:f>IF(OR(G112="",H112=""),"",G112/1000*H112)</x:f>
        <x:v>0.66</x:v>
      </x:c>
      <x:c r="J112" s="90" t="n">
        <x:v>0.02</x:v>
      </x:c>
      <x:c r="K112" s="62" t="n">
        <x:v>0.3</x:v>
      </x:c>
      <x:c r="L112" s="62" t="n">
        <x:v>0.15</x:v>
      </x:c>
      <x:c r="M112" s="54" t="n">
        <x:v>40</x:v>
      </x:c>
      <x:c r="N112" s="54" t="n">
        <x:v>1</x:v>
      </x:c>
      <x:c r="O112" s="62" t="n">
        <x:v>0.05</x:v>
      </x:c>
      <x:c r="P112" s="46" t="str">
        <x:v>Kaplama altı veya yüzer şap altı</x:v>
      </x:c>
      <x:c r="Q112" s="46" t="str">
        <x:v>DÜŞÜK</x:v>
      </x:c>
      <x:c r="R112" s="46" t="str"/>
      <x:c r="S112" s="50" t="str">
        <x:v>s' nominal başlangıç değeridir; EN 29052-1 / ISO 9052-1 test verisi tercih edilmelidir.</x:v>
      </x:c>
    </x:row>
    <x:row r="113">
      <x:c r="A113" s="46" t="str">
        <x:v>FL-UND-CORK-5</x:v>
      </x:c>
      <x:c r="B113" s="46" t="str">
        <x:v>Esnek altlık</x:v>
      </x:c>
      <x:c r="C113" s="46" t="str">
        <x:v>Mantar şilte</x:v>
      </x:c>
      <x:c r="D113" s="46" t="str">
        <x:v>GENERIC</x:v>
      </x:c>
      <x:c r="E113" s="46" t="str">
        <x:v>CORK</x:v>
      </x:c>
      <x:c r="F113" s="70" t="str">
        <x:v>ENGINEERING_DEFAULT</x:v>
      </x:c>
      <x:c r="G113" s="54" t="n">
        <x:v>5</x:v>
      </x:c>
      <x:c r="H113" s="54" t="n">
        <x:v>220</x:v>
      </x:c>
      <x:c r="I113" s="74" t="n">
        <x:f>IF(OR(G113="",H113=""),"",G113/1000*H113)</x:f>
        <x:v>1.1</x:v>
      </x:c>
      <x:c r="J113" s="90" t="n">
        <x:v>0.02</x:v>
      </x:c>
      <x:c r="K113" s="62" t="n">
        <x:v>0.3</x:v>
      </x:c>
      <x:c r="L113" s="62" t="n">
        <x:v>0.15</x:v>
      </x:c>
      <x:c r="M113" s="54" t="n">
        <x:v>40</x:v>
      </x:c>
      <x:c r="N113" s="54" t="n">
        <x:v>1</x:v>
      </x:c>
      <x:c r="O113" s="62" t="n">
        <x:v>0.05</x:v>
      </x:c>
      <x:c r="P113" s="46" t="str">
        <x:v>Kaplama altı veya yüzer şap altı</x:v>
      </x:c>
      <x:c r="Q113" s="46" t="str">
        <x:v>DÜŞÜK</x:v>
      </x:c>
      <x:c r="R113" s="46" t="str"/>
      <x:c r="S113" s="50" t="str">
        <x:v>s' nominal başlangıç değeridir; EN 29052-1 / ISO 9052-1 test verisi tercih edilmelidir.</x:v>
      </x:c>
    </x:row>
    <x:row r="114">
      <x:c r="A114" s="46" t="str">
        <x:v>FL-UND-CORK-6</x:v>
      </x:c>
      <x:c r="B114" s="46" t="str">
        <x:v>Esnek altlık</x:v>
      </x:c>
      <x:c r="C114" s="46" t="str">
        <x:v>Mantar şilte</x:v>
      </x:c>
      <x:c r="D114" s="46" t="str">
        <x:v>GENERIC</x:v>
      </x:c>
      <x:c r="E114" s="46" t="str">
        <x:v>CORK</x:v>
      </x:c>
      <x:c r="F114" s="70" t="str">
        <x:v>ENGINEERING_DEFAULT</x:v>
      </x:c>
      <x:c r="G114" s="54" t="n">
        <x:v>6</x:v>
      </x:c>
      <x:c r="H114" s="54" t="n">
        <x:v>220</x:v>
      </x:c>
      <x:c r="I114" s="74" t="n">
        <x:f>IF(OR(G114="",H114=""),"",G114/1000*H114)</x:f>
        <x:v>1.32</x:v>
      </x:c>
      <x:c r="J114" s="90" t="n">
        <x:v>0.02</x:v>
      </x:c>
      <x:c r="K114" s="62" t="n">
        <x:v>0.3</x:v>
      </x:c>
      <x:c r="L114" s="62" t="n">
        <x:v>0.15</x:v>
      </x:c>
      <x:c r="M114" s="54" t="n">
        <x:v>40</x:v>
      </x:c>
      <x:c r="N114" s="54" t="n">
        <x:v>1</x:v>
      </x:c>
      <x:c r="O114" s="62" t="n">
        <x:v>0.05</x:v>
      </x:c>
      <x:c r="P114" s="46" t="str">
        <x:v>Kaplama altı veya yüzer şap altı</x:v>
      </x:c>
      <x:c r="Q114" s="46" t="str">
        <x:v>DÜŞÜK</x:v>
      </x:c>
      <x:c r="R114" s="46" t="str"/>
      <x:c r="S114" s="50" t="str">
        <x:v>s' nominal başlangıç değeridir; EN 29052-1 / ISO 9052-1 test verisi tercih edilmelidir.</x:v>
      </x:c>
    </x:row>
    <x:row r="115">
      <x:c r="A115" s="46" t="str">
        <x:v>FL-UND-CORK-10</x:v>
      </x:c>
      <x:c r="B115" s="46" t="str">
        <x:v>Esnek altlık</x:v>
      </x:c>
      <x:c r="C115" s="46" t="str">
        <x:v>Mantar şilte</x:v>
      </x:c>
      <x:c r="D115" s="46" t="str">
        <x:v>GENERIC</x:v>
      </x:c>
      <x:c r="E115" s="46" t="str">
        <x:v>CORK</x:v>
      </x:c>
      <x:c r="F115" s="70" t="str">
        <x:v>ENGINEERING_DEFAULT</x:v>
      </x:c>
      <x:c r="G115" s="54" t="n">
        <x:v>10</x:v>
      </x:c>
      <x:c r="H115" s="54" t="n">
        <x:v>220</x:v>
      </x:c>
      <x:c r="I115" s="74" t="n">
        <x:f>IF(OR(G115="",H115=""),"",G115/1000*H115)</x:f>
        <x:v>2.2</x:v>
      </x:c>
      <x:c r="J115" s="90" t="n">
        <x:v>0.02</x:v>
      </x:c>
      <x:c r="K115" s="62" t="n">
        <x:v>0.3</x:v>
      </x:c>
      <x:c r="L115" s="62" t="n">
        <x:v>0.15</x:v>
      </x:c>
      <x:c r="M115" s="54" t="n">
        <x:v>40</x:v>
      </x:c>
      <x:c r="N115" s="54" t="n">
        <x:v>1</x:v>
      </x:c>
      <x:c r="O115" s="62" t="n">
        <x:v>0.05</x:v>
      </x:c>
      <x:c r="P115" s="46" t="str">
        <x:v>Kaplama altı veya yüzer şap altı</x:v>
      </x:c>
      <x:c r="Q115" s="46" t="str">
        <x:v>DÜŞÜK</x:v>
      </x:c>
      <x:c r="R115" s="46" t="str"/>
      <x:c r="S115" s="50" t="str">
        <x:v>s' nominal başlangıç değeridir; EN 29052-1 / ISO 9052-1 test verisi tercih edilmelidir.</x:v>
      </x:c>
    </x:row>
    <x:row r="116">
      <x:c r="A116" s="46" t="str">
        <x:v>FL-UND-RUBBER-CRUMB-3</x:v>
      </x:c>
      <x:c r="B116" s="46" t="str">
        <x:v>Esnek altlık</x:v>
      </x:c>
      <x:c r="C116" s="46" t="str">
        <x:v>Kauçuk granül şilte</x:v>
      </x:c>
      <x:c r="D116" s="46" t="str">
        <x:v>GENERIC</x:v>
      </x:c>
      <x:c r="E116" s="46" t="str">
        <x:v>RUBBER-CRUMB</x:v>
      </x:c>
      <x:c r="F116" s="70" t="str">
        <x:v>ENGINEERING_DEFAULT</x:v>
      </x:c>
      <x:c r="G116" s="54" t="n">
        <x:v>3</x:v>
      </x:c>
      <x:c r="H116" s="54" t="n">
        <x:v>700</x:v>
      </x:c>
      <x:c r="I116" s="74" t="n">
        <x:f>IF(OR(G116="",H116=""),"",G116/1000*H116)</x:f>
        <x:v>2.1</x:v>
      </x:c>
      <x:c r="J116" s="90" t="n">
        <x:v>0.01</x:v>
      </x:c>
      <x:c r="K116" s="62" t="n">
        <x:v>0.49</x:v>
      </x:c>
      <x:c r="L116" s="62" t="n">
        <x:v>0.18</x:v>
      </x:c>
      <x:c r="M116" s="54" t="n">
        <x:v>25</x:v>
      </x:c>
      <x:c r="N116" s="54" t="n">
        <x:v>1</x:v>
      </x:c>
      <x:c r="O116" s="62" t="n">
        <x:v>0.12</x:v>
      </x:c>
      <x:c r="P116" s="46" t="str">
        <x:v>Kaplama altı veya yüzer şap altı</x:v>
      </x:c>
      <x:c r="Q116" s="46" t="str">
        <x:v>DÜŞÜK</x:v>
      </x:c>
      <x:c r="R116" s="46" t="str"/>
      <x:c r="S116" s="50" t="str">
        <x:v>s' nominal başlangıç değeridir; EN 29052-1 / ISO 9052-1 test verisi tercih edilmelidir.</x:v>
      </x:c>
    </x:row>
    <x:row r="117">
      <x:c r="A117" s="46" t="str">
        <x:v>FL-UND-RUBBER-CRUMB-5</x:v>
      </x:c>
      <x:c r="B117" s="46" t="str">
        <x:v>Esnek altlık</x:v>
      </x:c>
      <x:c r="C117" s="46" t="str">
        <x:v>Kauçuk granül şilte</x:v>
      </x:c>
      <x:c r="D117" s="46" t="str">
        <x:v>GENERIC</x:v>
      </x:c>
      <x:c r="E117" s="46" t="str">
        <x:v>RUBBER-CRUMB</x:v>
      </x:c>
      <x:c r="F117" s="70" t="str">
        <x:v>ENGINEERING_DEFAULT</x:v>
      </x:c>
      <x:c r="G117" s="54" t="n">
        <x:v>5</x:v>
      </x:c>
      <x:c r="H117" s="54" t="n">
        <x:v>700</x:v>
      </x:c>
      <x:c r="I117" s="74" t="n">
        <x:f>IF(OR(G117="",H117=""),"",G117/1000*H117)</x:f>
        <x:v>3.5</x:v>
      </x:c>
      <x:c r="J117" s="90" t="n">
        <x:v>0.01</x:v>
      </x:c>
      <x:c r="K117" s="62" t="n">
        <x:v>0.49</x:v>
      </x:c>
      <x:c r="L117" s="62" t="n">
        <x:v>0.18</x:v>
      </x:c>
      <x:c r="M117" s="54" t="n">
        <x:v>25</x:v>
      </x:c>
      <x:c r="N117" s="54" t="n">
        <x:v>1</x:v>
      </x:c>
      <x:c r="O117" s="62" t="n">
        <x:v>0.12</x:v>
      </x:c>
      <x:c r="P117" s="46" t="str">
        <x:v>Kaplama altı veya yüzer şap altı</x:v>
      </x:c>
      <x:c r="Q117" s="46" t="str">
        <x:v>DÜŞÜK</x:v>
      </x:c>
      <x:c r="R117" s="46" t="str"/>
      <x:c r="S117" s="50" t="str">
        <x:v>s' nominal başlangıç değeridir; EN 29052-1 / ISO 9052-1 test verisi tercih edilmelidir.</x:v>
      </x:c>
    </x:row>
    <x:row r="118">
      <x:c r="A118" s="46" t="str">
        <x:v>FL-UND-RUBBER-CRUMB-8</x:v>
      </x:c>
      <x:c r="B118" s="46" t="str">
        <x:v>Esnek altlık</x:v>
      </x:c>
      <x:c r="C118" s="46" t="str">
        <x:v>Kauçuk granül şilte</x:v>
      </x:c>
      <x:c r="D118" s="46" t="str">
        <x:v>GENERIC</x:v>
      </x:c>
      <x:c r="E118" s="46" t="str">
        <x:v>RUBBER-CRUMB</x:v>
      </x:c>
      <x:c r="F118" s="70" t="str">
        <x:v>ENGINEERING_DEFAULT</x:v>
      </x:c>
      <x:c r="G118" s="54" t="n">
        <x:v>8</x:v>
      </x:c>
      <x:c r="H118" s="54" t="n">
        <x:v>700</x:v>
      </x:c>
      <x:c r="I118" s="74" t="n">
        <x:f>IF(OR(G118="",H118=""),"",G118/1000*H118)</x:f>
        <x:v>5.6000000000000005</x:v>
      </x:c>
      <x:c r="J118" s="90" t="n">
        <x:v>0.01</x:v>
      </x:c>
      <x:c r="K118" s="62" t="n">
        <x:v>0.49</x:v>
      </x:c>
      <x:c r="L118" s="62" t="n">
        <x:v>0.18</x:v>
      </x:c>
      <x:c r="M118" s="54" t="n">
        <x:v>25</x:v>
      </x:c>
      <x:c r="N118" s="54" t="n">
        <x:v>1</x:v>
      </x:c>
      <x:c r="O118" s="62" t="n">
        <x:v>0.12</x:v>
      </x:c>
      <x:c r="P118" s="46" t="str">
        <x:v>Kaplama altı veya yüzer şap altı</x:v>
      </x:c>
      <x:c r="Q118" s="46" t="str">
        <x:v>DÜŞÜK</x:v>
      </x:c>
      <x:c r="R118" s="46" t="str"/>
      <x:c r="S118" s="50" t="str">
        <x:v>s' nominal başlangıç değeridir; EN 29052-1 / ISO 9052-1 test verisi tercih edilmelidir.</x:v>
      </x:c>
    </x:row>
    <x:row r="119">
      <x:c r="A119" s="46" t="str">
        <x:v>FL-UND-RUBBER-CRUMB-10</x:v>
      </x:c>
      <x:c r="B119" s="46" t="str">
        <x:v>Esnek altlık</x:v>
      </x:c>
      <x:c r="C119" s="46" t="str">
        <x:v>Kauçuk granül şilte</x:v>
      </x:c>
      <x:c r="D119" s="46" t="str">
        <x:v>GENERIC</x:v>
      </x:c>
      <x:c r="E119" s="46" t="str">
        <x:v>RUBBER-CRUMB</x:v>
      </x:c>
      <x:c r="F119" s="70" t="str">
        <x:v>ENGINEERING_DEFAULT</x:v>
      </x:c>
      <x:c r="G119" s="54" t="n">
        <x:v>10</x:v>
      </x:c>
      <x:c r="H119" s="54" t="n">
        <x:v>700</x:v>
      </x:c>
      <x:c r="I119" s="74" t="n">
        <x:f>IF(OR(G119="",H119=""),"",G119/1000*H119)</x:f>
        <x:v>7</x:v>
      </x:c>
      <x:c r="J119" s="90" t="n">
        <x:v>0.01</x:v>
      </x:c>
      <x:c r="K119" s="62" t="n">
        <x:v>0.49</x:v>
      </x:c>
      <x:c r="L119" s="62" t="n">
        <x:v>0.18</x:v>
      </x:c>
      <x:c r="M119" s="54" t="n">
        <x:v>25</x:v>
      </x:c>
      <x:c r="N119" s="54" t="n">
        <x:v>1</x:v>
      </x:c>
      <x:c r="O119" s="62" t="n">
        <x:v>0.12</x:v>
      </x:c>
      <x:c r="P119" s="46" t="str">
        <x:v>Kaplama altı veya yüzer şap altı</x:v>
      </x:c>
      <x:c r="Q119" s="46" t="str">
        <x:v>DÜŞÜK</x:v>
      </x:c>
      <x:c r="R119" s="46" t="str"/>
      <x:c r="S119" s="50" t="str">
        <x:v>s' nominal başlangıç değeridir; EN 29052-1 / ISO 9052-1 test verisi tercih edilmelidir.</x:v>
      </x:c>
    </x:row>
    <x:row r="120">
      <x:c r="A120" s="46" t="str">
        <x:v>FL-UND-RUBBER-CRUMB-15</x:v>
      </x:c>
      <x:c r="B120" s="46" t="str">
        <x:v>Esnek altlık</x:v>
      </x:c>
      <x:c r="C120" s="46" t="str">
        <x:v>Kauçuk granül şilte</x:v>
      </x:c>
      <x:c r="D120" s="46" t="str">
        <x:v>GENERIC</x:v>
      </x:c>
      <x:c r="E120" s="46" t="str">
        <x:v>RUBBER-CRUMB</x:v>
      </x:c>
      <x:c r="F120" s="70" t="str">
        <x:v>ENGINEERING_DEFAULT</x:v>
      </x:c>
      <x:c r="G120" s="54" t="n">
        <x:v>15</x:v>
      </x:c>
      <x:c r="H120" s="54" t="n">
        <x:v>700</x:v>
      </x:c>
      <x:c r="I120" s="74" t="n">
        <x:f>IF(OR(G120="",H120=""),"",G120/1000*H120)</x:f>
        <x:v>10.5</x:v>
      </x:c>
      <x:c r="J120" s="90" t="n">
        <x:v>0.01</x:v>
      </x:c>
      <x:c r="K120" s="62" t="n">
        <x:v>0.49</x:v>
      </x:c>
      <x:c r="L120" s="62" t="n">
        <x:v>0.18</x:v>
      </x:c>
      <x:c r="M120" s="54" t="n">
        <x:v>25</x:v>
      </x:c>
      <x:c r="N120" s="54" t="n">
        <x:v>1</x:v>
      </x:c>
      <x:c r="O120" s="62" t="n">
        <x:v>0.12</x:v>
      </x:c>
      <x:c r="P120" s="46" t="str">
        <x:v>Kaplama altı veya yüzer şap altı</x:v>
      </x:c>
      <x:c r="Q120" s="46" t="str">
        <x:v>DÜŞÜK</x:v>
      </x:c>
      <x:c r="R120" s="46" t="str"/>
      <x:c r="S120" s="50" t="str">
        <x:v>s' nominal başlangıç değeridir; EN 29052-1 / ISO 9052-1 test verisi tercih edilmelidir.</x:v>
      </x:c>
    </x:row>
    <x:row r="121">
      <x:c r="A121" s="46" t="str">
        <x:v>FL-UND-SBR-RECYCLED-3</x:v>
      </x:c>
      <x:c r="B121" s="46" t="str">
        <x:v>Esnek altlık</x:v>
      </x:c>
      <x:c r="C121" s="46" t="str">
        <x:v>Geri dönüştürülmüş SBR şilte</x:v>
      </x:c>
      <x:c r="D121" s="46" t="str">
        <x:v>GENERIC</x:v>
      </x:c>
      <x:c r="E121" s="46" t="str">
        <x:v>SBR-RECYCLED</x:v>
      </x:c>
      <x:c r="F121" s="70" t="str">
        <x:v>ENGINEERING_DEFAULT</x:v>
      </x:c>
      <x:c r="G121" s="54" t="n">
        <x:v>3</x:v>
      </x:c>
      <x:c r="H121" s="54" t="n">
        <x:v>750</x:v>
      </x:c>
      <x:c r="I121" s="74" t="n">
        <x:f>IF(OR(G121="",H121=""),"",G121/1000*H121)</x:f>
        <x:v>2.25</x:v>
      </x:c>
      <x:c r="J121" s="90" t="n">
        <x:v>0.012</x:v>
      </x:c>
      <x:c r="K121" s="62" t="n">
        <x:v>0.49</x:v>
      </x:c>
      <x:c r="L121" s="62" t="n">
        <x:v>0.16</x:v>
      </x:c>
      <x:c r="M121" s="54" t="n">
        <x:v>30</x:v>
      </x:c>
      <x:c r="N121" s="54" t="n">
        <x:v>1</x:v>
      </x:c>
      <x:c r="O121" s="62" t="n">
        <x:v>0.13</x:v>
      </x:c>
      <x:c r="P121" s="46" t="str">
        <x:v>Kaplama altı veya yüzer şap altı</x:v>
      </x:c>
      <x:c r="Q121" s="46" t="str">
        <x:v>DÜŞÜK</x:v>
      </x:c>
      <x:c r="R121" s="46" t="str"/>
      <x:c r="S121" s="50" t="str">
        <x:v>s' nominal başlangıç değeridir; EN 29052-1 / ISO 9052-1 test verisi tercih edilmelidir.</x:v>
      </x:c>
    </x:row>
    <x:row r="122">
      <x:c r="A122" s="46" t="str">
        <x:v>FL-UND-SBR-RECYCLED-5</x:v>
      </x:c>
      <x:c r="B122" s="46" t="str">
        <x:v>Esnek altlık</x:v>
      </x:c>
      <x:c r="C122" s="46" t="str">
        <x:v>Geri dönüştürülmüş SBR şilte</x:v>
      </x:c>
      <x:c r="D122" s="46" t="str">
        <x:v>GENERIC</x:v>
      </x:c>
      <x:c r="E122" s="46" t="str">
        <x:v>SBR-RECYCLED</x:v>
      </x:c>
      <x:c r="F122" s="70" t="str">
        <x:v>ENGINEERING_DEFAULT</x:v>
      </x:c>
      <x:c r="G122" s="54" t="n">
        <x:v>5</x:v>
      </x:c>
      <x:c r="H122" s="54" t="n">
        <x:v>750</x:v>
      </x:c>
      <x:c r="I122" s="74" t="n">
        <x:f>IF(OR(G122="",H122=""),"",G122/1000*H122)</x:f>
        <x:v>3.75</x:v>
      </x:c>
      <x:c r="J122" s="90" t="n">
        <x:v>0.012</x:v>
      </x:c>
      <x:c r="K122" s="62" t="n">
        <x:v>0.49</x:v>
      </x:c>
      <x:c r="L122" s="62" t="n">
        <x:v>0.16</x:v>
      </x:c>
      <x:c r="M122" s="54" t="n">
        <x:v>30</x:v>
      </x:c>
      <x:c r="N122" s="54" t="n">
        <x:v>1</x:v>
      </x:c>
      <x:c r="O122" s="62" t="n">
        <x:v>0.13</x:v>
      </x:c>
      <x:c r="P122" s="46" t="str">
        <x:v>Kaplama altı veya yüzer şap altı</x:v>
      </x:c>
      <x:c r="Q122" s="46" t="str">
        <x:v>DÜŞÜK</x:v>
      </x:c>
      <x:c r="R122" s="46" t="str"/>
      <x:c r="S122" s="50" t="str">
        <x:v>s' nominal başlangıç değeridir; EN 29052-1 / ISO 9052-1 test verisi tercih edilmelidir.</x:v>
      </x:c>
    </x:row>
    <x:row r="123">
      <x:c r="A123" s="46" t="str">
        <x:v>FL-UND-SBR-RECYCLED-8</x:v>
      </x:c>
      <x:c r="B123" s="46" t="str">
        <x:v>Esnek altlık</x:v>
      </x:c>
      <x:c r="C123" s="46" t="str">
        <x:v>Geri dönüştürülmüş SBR şilte</x:v>
      </x:c>
      <x:c r="D123" s="46" t="str">
        <x:v>GENERIC</x:v>
      </x:c>
      <x:c r="E123" s="46" t="str">
        <x:v>SBR-RECYCLED</x:v>
      </x:c>
      <x:c r="F123" s="70" t="str">
        <x:v>ENGINEERING_DEFAULT</x:v>
      </x:c>
      <x:c r="G123" s="54" t="n">
        <x:v>8</x:v>
      </x:c>
      <x:c r="H123" s="54" t="n">
        <x:v>750</x:v>
      </x:c>
      <x:c r="I123" s="74" t="n">
        <x:f>IF(OR(G123="",H123=""),"",G123/1000*H123)</x:f>
        <x:v>6</x:v>
      </x:c>
      <x:c r="J123" s="90" t="n">
        <x:v>0.012</x:v>
      </x:c>
      <x:c r="K123" s="62" t="n">
        <x:v>0.49</x:v>
      </x:c>
      <x:c r="L123" s="62" t="n">
        <x:v>0.16</x:v>
      </x:c>
      <x:c r="M123" s="54" t="n">
        <x:v>30</x:v>
      </x:c>
      <x:c r="N123" s="54" t="n">
        <x:v>1</x:v>
      </x:c>
      <x:c r="O123" s="62" t="n">
        <x:v>0.13</x:v>
      </x:c>
      <x:c r="P123" s="46" t="str">
        <x:v>Kaplama altı veya yüzer şap altı</x:v>
      </x:c>
      <x:c r="Q123" s="46" t="str">
        <x:v>DÜŞÜK</x:v>
      </x:c>
      <x:c r="R123" s="46" t="str"/>
      <x:c r="S123" s="50" t="str">
        <x:v>s' nominal başlangıç değeridir; EN 29052-1 / ISO 9052-1 test verisi tercih edilmelidir.</x:v>
      </x:c>
    </x:row>
    <x:row r="124">
      <x:c r="A124" s="46" t="str">
        <x:v>FL-UND-SBR-RECYCLED-10</x:v>
      </x:c>
      <x:c r="B124" s="46" t="str">
        <x:v>Esnek altlık</x:v>
      </x:c>
      <x:c r="C124" s="46" t="str">
        <x:v>Geri dönüştürülmüş SBR şilte</x:v>
      </x:c>
      <x:c r="D124" s="46" t="str">
        <x:v>GENERIC</x:v>
      </x:c>
      <x:c r="E124" s="46" t="str">
        <x:v>SBR-RECYCLED</x:v>
      </x:c>
      <x:c r="F124" s="70" t="str">
        <x:v>ENGINEERING_DEFAULT</x:v>
      </x:c>
      <x:c r="G124" s="54" t="n">
        <x:v>10</x:v>
      </x:c>
      <x:c r="H124" s="54" t="n">
        <x:v>750</x:v>
      </x:c>
      <x:c r="I124" s="74" t="n">
        <x:f>IF(OR(G124="",H124=""),"",G124/1000*H124)</x:f>
        <x:v>7.5</x:v>
      </x:c>
      <x:c r="J124" s="90" t="n">
        <x:v>0.012</x:v>
      </x:c>
      <x:c r="K124" s="62" t="n">
        <x:v>0.49</x:v>
      </x:c>
      <x:c r="L124" s="62" t="n">
        <x:v>0.16</x:v>
      </x:c>
      <x:c r="M124" s="54" t="n">
        <x:v>30</x:v>
      </x:c>
      <x:c r="N124" s="54" t="n">
        <x:v>1</x:v>
      </x:c>
      <x:c r="O124" s="62" t="n">
        <x:v>0.13</x:v>
      </x:c>
      <x:c r="P124" s="46" t="str">
        <x:v>Kaplama altı veya yüzer şap altı</x:v>
      </x:c>
      <x:c r="Q124" s="46" t="str">
        <x:v>DÜŞÜK</x:v>
      </x:c>
      <x:c r="R124" s="46" t="str"/>
      <x:c r="S124" s="50" t="str">
        <x:v>s' nominal başlangıç değeridir; EN 29052-1 / ISO 9052-1 test verisi tercih edilmelidir.</x:v>
      </x:c>
    </x:row>
    <x:row r="125">
      <x:c r="A125" s="46" t="str">
        <x:v>FL-UND-POLY-FELT-3</x:v>
      </x:c>
      <x:c r="B125" s="46" t="str">
        <x:v>Esnek altlık</x:v>
      </x:c>
      <x:c r="C125" s="46" t="str">
        <x:v>Polyester keçe altlık</x:v>
      </x:c>
      <x:c r="D125" s="46" t="str">
        <x:v>GENERIC</x:v>
      </x:c>
      <x:c r="E125" s="46" t="str">
        <x:v>POLY-FELT</x:v>
      </x:c>
      <x:c r="F125" s="70" t="str">
        <x:v>ENGINEERING_DEFAULT</x:v>
      </x:c>
      <x:c r="G125" s="54" t="n">
        <x:v>3</x:v>
      </x:c>
      <x:c r="H125" s="54" t="n">
        <x:v>150</x:v>
      </x:c>
      <x:c r="I125" s="74" t="n">
        <x:f>IF(OR(G125="",H125=""),"",G125/1000*H125)</x:f>
        <x:v>0.45</x:v>
      </x:c>
      <x:c r="J125" s="90" t="n">
        <x:v>0.004</x:v>
      </x:c>
      <x:c r="K125" s="62" t="n">
        <x:v>0.2</x:v>
      </x:c>
      <x:c r="L125" s="62" t="n">
        <x:v>0.22</x:v>
      </x:c>
      <x:c r="M125" s="54" t="n">
        <x:v>45</x:v>
      </x:c>
      <x:c r="N125" s="54" t="n">
        <x:v>1.5</x:v>
      </x:c>
      <x:c r="O125" s="62" t="n">
        <x:v>0.045</x:v>
      </x:c>
      <x:c r="P125" s="46" t="str">
        <x:v>Kaplama altı veya yüzer şap altı</x:v>
      </x:c>
      <x:c r="Q125" s="46" t="str">
        <x:v>DÜŞÜK</x:v>
      </x:c>
      <x:c r="R125" s="46" t="str"/>
      <x:c r="S125" s="50" t="str">
        <x:v>s' nominal başlangıç değeridir; EN 29052-1 / ISO 9052-1 test verisi tercih edilmelidir.</x:v>
      </x:c>
    </x:row>
    <x:row r="126">
      <x:c r="A126" s="46" t="str">
        <x:v>FL-UND-POLY-FELT-5</x:v>
      </x:c>
      <x:c r="B126" s="46" t="str">
        <x:v>Esnek altlık</x:v>
      </x:c>
      <x:c r="C126" s="46" t="str">
        <x:v>Polyester keçe altlık</x:v>
      </x:c>
      <x:c r="D126" s="46" t="str">
        <x:v>GENERIC</x:v>
      </x:c>
      <x:c r="E126" s="46" t="str">
        <x:v>POLY-FELT</x:v>
      </x:c>
      <x:c r="F126" s="70" t="str">
        <x:v>ENGINEERING_DEFAULT</x:v>
      </x:c>
      <x:c r="G126" s="54" t="n">
        <x:v>5</x:v>
      </x:c>
      <x:c r="H126" s="54" t="n">
        <x:v>150</x:v>
      </x:c>
      <x:c r="I126" s="74" t="n">
        <x:f>IF(OR(G126="",H126=""),"",G126/1000*H126)</x:f>
        <x:v>0.75</x:v>
      </x:c>
      <x:c r="J126" s="90" t="n">
        <x:v>0.004</x:v>
      </x:c>
      <x:c r="K126" s="62" t="n">
        <x:v>0.2</x:v>
      </x:c>
      <x:c r="L126" s="62" t="n">
        <x:v>0.22</x:v>
      </x:c>
      <x:c r="M126" s="54" t="n">
        <x:v>45</x:v>
      </x:c>
      <x:c r="N126" s="54" t="n">
        <x:v>1.5</x:v>
      </x:c>
      <x:c r="O126" s="62" t="n">
        <x:v>0.045</x:v>
      </x:c>
      <x:c r="P126" s="46" t="str">
        <x:v>Kaplama altı veya yüzer şap altı</x:v>
      </x:c>
      <x:c r="Q126" s="46" t="str">
        <x:v>DÜŞÜK</x:v>
      </x:c>
      <x:c r="R126" s="46" t="str"/>
      <x:c r="S126" s="50" t="str">
        <x:v>s' nominal başlangıç değeridir; EN 29052-1 / ISO 9052-1 test verisi tercih edilmelidir.</x:v>
      </x:c>
    </x:row>
    <x:row r="127">
      <x:c r="A127" s="46" t="str">
        <x:v>FL-UND-POLY-FELT-8</x:v>
      </x:c>
      <x:c r="B127" s="46" t="str">
        <x:v>Esnek altlık</x:v>
      </x:c>
      <x:c r="C127" s="46" t="str">
        <x:v>Polyester keçe altlık</x:v>
      </x:c>
      <x:c r="D127" s="46" t="str">
        <x:v>GENERIC</x:v>
      </x:c>
      <x:c r="E127" s="46" t="str">
        <x:v>POLY-FELT</x:v>
      </x:c>
      <x:c r="F127" s="70" t="str">
        <x:v>ENGINEERING_DEFAULT</x:v>
      </x:c>
      <x:c r="G127" s="54" t="n">
        <x:v>8</x:v>
      </x:c>
      <x:c r="H127" s="54" t="n">
        <x:v>150</x:v>
      </x:c>
      <x:c r="I127" s="74" t="n">
        <x:f>IF(OR(G127="",H127=""),"",G127/1000*H127)</x:f>
        <x:v>1.2</x:v>
      </x:c>
      <x:c r="J127" s="90" t="n">
        <x:v>0.004</x:v>
      </x:c>
      <x:c r="K127" s="62" t="n">
        <x:v>0.2</x:v>
      </x:c>
      <x:c r="L127" s="62" t="n">
        <x:v>0.22</x:v>
      </x:c>
      <x:c r="M127" s="54" t="n">
        <x:v>45</x:v>
      </x:c>
      <x:c r="N127" s="54" t="n">
        <x:v>1.5</x:v>
      </x:c>
      <x:c r="O127" s="62" t="n">
        <x:v>0.045</x:v>
      </x:c>
      <x:c r="P127" s="46" t="str">
        <x:v>Kaplama altı veya yüzer şap altı</x:v>
      </x:c>
      <x:c r="Q127" s="46" t="str">
        <x:v>DÜŞÜK</x:v>
      </x:c>
      <x:c r="R127" s="46" t="str"/>
      <x:c r="S127" s="50" t="str">
        <x:v>s' nominal başlangıç değeridir; EN 29052-1 / ISO 9052-1 test verisi tercih edilmelidir.</x:v>
      </x:c>
    </x:row>
    <x:row r="128">
      <x:c r="A128" s="46" t="str">
        <x:v>FL-UND-POLY-FELT-10</x:v>
      </x:c>
      <x:c r="B128" s="46" t="str">
        <x:v>Esnek altlık</x:v>
      </x:c>
      <x:c r="C128" s="46" t="str">
        <x:v>Polyester keçe altlık</x:v>
      </x:c>
      <x:c r="D128" s="46" t="str">
        <x:v>GENERIC</x:v>
      </x:c>
      <x:c r="E128" s="46" t="str">
        <x:v>POLY-FELT</x:v>
      </x:c>
      <x:c r="F128" s="70" t="str">
        <x:v>ENGINEERING_DEFAULT</x:v>
      </x:c>
      <x:c r="G128" s="54" t="n">
        <x:v>10</x:v>
      </x:c>
      <x:c r="H128" s="54" t="n">
        <x:v>150</x:v>
      </x:c>
      <x:c r="I128" s="74" t="n">
        <x:f>IF(OR(G128="",H128=""),"",G128/1000*H128)</x:f>
        <x:v>1.5</x:v>
      </x:c>
      <x:c r="J128" s="90" t="n">
        <x:v>0.004</x:v>
      </x:c>
      <x:c r="K128" s="62" t="n">
        <x:v>0.2</x:v>
      </x:c>
      <x:c r="L128" s="62" t="n">
        <x:v>0.22</x:v>
      </x:c>
      <x:c r="M128" s="54" t="n">
        <x:v>45</x:v>
      </x:c>
      <x:c r="N128" s="54" t="n">
        <x:v>1.5</x:v>
      </x:c>
      <x:c r="O128" s="62" t="n">
        <x:v>0.045</x:v>
      </x:c>
      <x:c r="P128" s="46" t="str">
        <x:v>Kaplama altı veya yüzer şap altı</x:v>
      </x:c>
      <x:c r="Q128" s="46" t="str">
        <x:v>DÜŞÜK</x:v>
      </x:c>
      <x:c r="R128" s="46" t="str"/>
      <x:c r="S128" s="50" t="str">
        <x:v>s' nominal başlangıç değeridir; EN 29052-1 / ISO 9052-1 test verisi tercih edilmelidir.</x:v>
      </x:c>
    </x:row>
    <x:row r="129">
      <x:c r="A129" s="46" t="str">
        <x:v>FL-UND-MW-FLOOR-15</x:v>
      </x:c>
      <x:c r="B129" s="46" t="str">
        <x:v>Esnek altlık</x:v>
      </x:c>
      <x:c r="C129" s="46" t="str">
        <x:v>Taş yünü yüzer döşeme levhası</x:v>
      </x:c>
      <x:c r="D129" s="46" t="str">
        <x:v>GENERIC</x:v>
      </x:c>
      <x:c r="E129" s="46" t="str">
        <x:v>MW-FLOOR</x:v>
      </x:c>
      <x:c r="F129" s="70" t="str">
        <x:v>ENGINEERING_DEFAULT</x:v>
      </x:c>
      <x:c r="G129" s="54" t="n">
        <x:v>15</x:v>
      </x:c>
      <x:c r="H129" s="54" t="n">
        <x:v>120</x:v>
      </x:c>
      <x:c r="I129" s="74" t="n">
        <x:f>IF(OR(G129="",H129=""),"",G129/1000*H129)</x:f>
        <x:v>1.7999999999999998</x:v>
      </x:c>
      <x:c r="J129" s="90" t="n">
        <x:v>0.00015</x:v>
      </x:c>
      <x:c r="K129" s="62" t="n">
        <x:v>0.1</x:v>
      </x:c>
      <x:c r="L129" s="62" t="n">
        <x:v>0.2</x:v>
      </x:c>
      <x:c r="M129" s="54" t="n">
        <x:v>10</x:v>
      </x:c>
      <x:c r="N129" s="54" t="n">
        <x:v>2</x:v>
      </x:c>
      <x:c r="O129" s="62" t="n">
        <x:v>0.04</x:v>
      </x:c>
      <x:c r="P129" s="46" t="str">
        <x:v>Kaplama altı veya yüzer şap altı</x:v>
      </x:c>
      <x:c r="Q129" s="46" t="str">
        <x:v>DÜŞÜK</x:v>
      </x:c>
      <x:c r="R129" s="46" t="str"/>
      <x:c r="S129" s="50" t="str">
        <x:v>s' nominal başlangıç değeridir; EN 29052-1 / ISO 9052-1 test verisi tercih edilmelidir.</x:v>
      </x:c>
    </x:row>
    <x:row r="130">
      <x:c r="A130" s="46" t="str">
        <x:v>FL-UND-MW-FLOOR-20</x:v>
      </x:c>
      <x:c r="B130" s="46" t="str">
        <x:v>Esnek altlık</x:v>
      </x:c>
      <x:c r="C130" s="46" t="str">
        <x:v>Taş yünü yüzer döşeme levhası</x:v>
      </x:c>
      <x:c r="D130" s="46" t="str">
        <x:v>GENERIC</x:v>
      </x:c>
      <x:c r="E130" s="46" t="str">
        <x:v>MW-FLOOR</x:v>
      </x:c>
      <x:c r="F130" s="70" t="str">
        <x:v>ENGINEERING_DEFAULT</x:v>
      </x:c>
      <x:c r="G130" s="54" t="n">
        <x:v>20</x:v>
      </x:c>
      <x:c r="H130" s="54" t="n">
        <x:v>120</x:v>
      </x:c>
      <x:c r="I130" s="74" t="n">
        <x:f>IF(OR(G130="",H130=""),"",G130/1000*H130)</x:f>
        <x:v>2.4</x:v>
      </x:c>
      <x:c r="J130" s="90" t="n">
        <x:v>0.00015</x:v>
      </x:c>
      <x:c r="K130" s="62" t="n">
        <x:v>0.1</x:v>
      </x:c>
      <x:c r="L130" s="62" t="n">
        <x:v>0.2</x:v>
      </x:c>
      <x:c r="M130" s="54" t="n">
        <x:v>10</x:v>
      </x:c>
      <x:c r="N130" s="54" t="n">
        <x:v>2</x:v>
      </x:c>
      <x:c r="O130" s="62" t="n">
        <x:v>0.04</x:v>
      </x:c>
      <x:c r="P130" s="46" t="str">
        <x:v>Kaplama altı veya yüzer şap altı</x:v>
      </x:c>
      <x:c r="Q130" s="46" t="str">
        <x:v>DÜŞÜK</x:v>
      </x:c>
      <x:c r="R130" s="46" t="str"/>
      <x:c r="S130" s="50" t="str">
        <x:v>s' nominal başlangıç değeridir; EN 29052-1 / ISO 9052-1 test verisi tercih edilmelidir.</x:v>
      </x:c>
    </x:row>
    <x:row r="131">
      <x:c r="A131" s="46" t="str">
        <x:v>FL-UND-MW-FLOOR-25</x:v>
      </x:c>
      <x:c r="B131" s="46" t="str">
        <x:v>Esnek altlık</x:v>
      </x:c>
      <x:c r="C131" s="46" t="str">
        <x:v>Taş yünü yüzer döşeme levhası</x:v>
      </x:c>
      <x:c r="D131" s="46" t="str">
        <x:v>GENERIC</x:v>
      </x:c>
      <x:c r="E131" s="46" t="str">
        <x:v>MW-FLOOR</x:v>
      </x:c>
      <x:c r="F131" s="70" t="str">
        <x:v>ENGINEERING_DEFAULT</x:v>
      </x:c>
      <x:c r="G131" s="54" t="n">
        <x:v>25</x:v>
      </x:c>
      <x:c r="H131" s="54" t="n">
        <x:v>120</x:v>
      </x:c>
      <x:c r="I131" s="74" t="n">
        <x:f>IF(OR(G131="",H131=""),"",G131/1000*H131)</x:f>
        <x:v>3</x:v>
      </x:c>
      <x:c r="J131" s="90" t="n">
        <x:v>0.00015</x:v>
      </x:c>
      <x:c r="K131" s="62" t="n">
        <x:v>0.1</x:v>
      </x:c>
      <x:c r="L131" s="62" t="n">
        <x:v>0.2</x:v>
      </x:c>
      <x:c r="M131" s="54" t="n">
        <x:v>10</x:v>
      </x:c>
      <x:c r="N131" s="54" t="n">
        <x:v>2</x:v>
      </x:c>
      <x:c r="O131" s="62" t="n">
        <x:v>0.04</x:v>
      </x:c>
      <x:c r="P131" s="46" t="str">
        <x:v>Kaplama altı veya yüzer şap altı</x:v>
      </x:c>
      <x:c r="Q131" s="46" t="str">
        <x:v>DÜŞÜK</x:v>
      </x:c>
      <x:c r="R131" s="46" t="str"/>
      <x:c r="S131" s="50" t="str">
        <x:v>s' nominal başlangıç değeridir; EN 29052-1 / ISO 9052-1 test verisi tercih edilmelidir.</x:v>
      </x:c>
    </x:row>
    <x:row r="132">
      <x:c r="A132" s="46" t="str">
        <x:v>FL-UND-MW-FLOOR-30</x:v>
      </x:c>
      <x:c r="B132" s="46" t="str">
        <x:v>Esnek altlık</x:v>
      </x:c>
      <x:c r="C132" s="46" t="str">
        <x:v>Taş yünü yüzer döşeme levhası</x:v>
      </x:c>
      <x:c r="D132" s="46" t="str">
        <x:v>GENERIC</x:v>
      </x:c>
      <x:c r="E132" s="46" t="str">
        <x:v>MW-FLOOR</x:v>
      </x:c>
      <x:c r="F132" s="70" t="str">
        <x:v>ENGINEERING_DEFAULT</x:v>
      </x:c>
      <x:c r="G132" s="54" t="n">
        <x:v>30</x:v>
      </x:c>
      <x:c r="H132" s="54" t="n">
        <x:v>120</x:v>
      </x:c>
      <x:c r="I132" s="74" t="n">
        <x:f>IF(OR(G132="",H132=""),"",G132/1000*H132)</x:f>
        <x:v>3.5999999999999996</x:v>
      </x:c>
      <x:c r="J132" s="90" t="n">
        <x:v>0.00015</x:v>
      </x:c>
      <x:c r="K132" s="62" t="n">
        <x:v>0.1</x:v>
      </x:c>
      <x:c r="L132" s="62" t="n">
        <x:v>0.2</x:v>
      </x:c>
      <x:c r="M132" s="54" t="n">
        <x:v>10</x:v>
      </x:c>
      <x:c r="N132" s="54" t="n">
        <x:v>2</x:v>
      </x:c>
      <x:c r="O132" s="62" t="n">
        <x:v>0.04</x:v>
      </x:c>
      <x:c r="P132" s="46" t="str">
        <x:v>Kaplama altı veya yüzer şap altı</x:v>
      </x:c>
      <x:c r="Q132" s="46" t="str">
        <x:v>DÜŞÜK</x:v>
      </x:c>
      <x:c r="R132" s="46" t="str"/>
      <x:c r="S132" s="50" t="str">
        <x:v>s' nominal başlangıç değeridir; EN 29052-1 / ISO 9052-1 test verisi tercih edilmelidir.</x:v>
      </x:c>
    </x:row>
    <x:row r="133">
      <x:c r="A133" s="46" t="str">
        <x:v>FL-UND-MW-FLOOR-40</x:v>
      </x:c>
      <x:c r="B133" s="46" t="str">
        <x:v>Esnek altlık</x:v>
      </x:c>
      <x:c r="C133" s="46" t="str">
        <x:v>Taş yünü yüzer döşeme levhası</x:v>
      </x:c>
      <x:c r="D133" s="46" t="str">
        <x:v>GENERIC</x:v>
      </x:c>
      <x:c r="E133" s="46" t="str">
        <x:v>MW-FLOOR</x:v>
      </x:c>
      <x:c r="F133" s="70" t="str">
        <x:v>ENGINEERING_DEFAULT</x:v>
      </x:c>
      <x:c r="G133" s="54" t="n">
        <x:v>40</x:v>
      </x:c>
      <x:c r="H133" s="54" t="n">
        <x:v>120</x:v>
      </x:c>
      <x:c r="I133" s="74" t="n">
        <x:f>IF(OR(G133="",H133=""),"",G133/1000*H133)</x:f>
        <x:v>4.8</x:v>
      </x:c>
      <x:c r="J133" s="90" t="n">
        <x:v>0.00015</x:v>
      </x:c>
      <x:c r="K133" s="62" t="n">
        <x:v>0.1</x:v>
      </x:c>
      <x:c r="L133" s="62" t="n">
        <x:v>0.2</x:v>
      </x:c>
      <x:c r="M133" s="54" t="n">
        <x:v>10</x:v>
      </x:c>
      <x:c r="N133" s="54" t="n">
        <x:v>2</x:v>
      </x:c>
      <x:c r="O133" s="62" t="n">
        <x:v>0.04</x:v>
      </x:c>
      <x:c r="P133" s="46" t="str">
        <x:v>Kaplama altı veya yüzer şap altı</x:v>
      </x:c>
      <x:c r="Q133" s="46" t="str">
        <x:v>DÜŞÜK</x:v>
      </x:c>
      <x:c r="R133" s="46" t="str"/>
      <x:c r="S133" s="50" t="str">
        <x:v>s' nominal başlangıç değeridir; EN 29052-1 / ISO 9052-1 test verisi tercih edilmelidir.</x:v>
      </x:c>
    </x:row>
    <x:row r="134">
      <x:c r="A134" s="46" t="str">
        <x:v>FL-UND-EPS-T-10</x:v>
      </x:c>
      <x:c r="B134" s="46" t="str">
        <x:v>Esnek altlık</x:v>
      </x:c>
      <x:c r="C134" s="46" t="str">
        <x:v>Elastikleştirilmiş EPS-T</x:v>
      </x:c>
      <x:c r="D134" s="46" t="str">
        <x:v>GENERIC</x:v>
      </x:c>
      <x:c r="E134" s="46" t="str">
        <x:v>EPS-T</x:v>
      </x:c>
      <x:c r="F134" s="70" t="str">
        <x:v>ENGINEERING_DEFAULT</x:v>
      </x:c>
      <x:c r="G134" s="54" t="n">
        <x:v>10</x:v>
      </x:c>
      <x:c r="H134" s="54" t="n">
        <x:v>15</x:v>
      </x:c>
      <x:c r="I134" s="74" t="n">
        <x:f>IF(OR(G134="",H134=""),"",G134/1000*H134)</x:f>
        <x:v>0.15</x:v>
      </x:c>
      <x:c r="J134" s="90" t="n">
        <x:v>0.0003</x:v>
      </x:c>
      <x:c r="K134" s="62" t="n">
        <x:v>0.1</x:v>
      </x:c>
      <x:c r="L134" s="62" t="n">
        <x:v>0.12</x:v>
      </x:c>
      <x:c r="M134" s="54" t="n">
        <x:v>20</x:v>
      </x:c>
      <x:c r="N134" s="54" t="n">
        <x:v>2</x:v>
      </x:c>
      <x:c r="O134" s="62" t="n">
        <x:v>0.04</x:v>
      </x:c>
      <x:c r="P134" s="46" t="str">
        <x:v>Kaplama altı veya yüzer şap altı</x:v>
      </x:c>
      <x:c r="Q134" s="46" t="str">
        <x:v>DÜŞÜK</x:v>
      </x:c>
      <x:c r="R134" s="46" t="str"/>
      <x:c r="S134" s="50" t="str">
        <x:v>s' nominal başlangıç değeridir; EN 29052-1 / ISO 9052-1 test verisi tercih edilmelidir.</x:v>
      </x:c>
    </x:row>
    <x:row r="135">
      <x:c r="A135" s="46" t="str">
        <x:v>FL-UND-EPS-T-15</x:v>
      </x:c>
      <x:c r="B135" s="46" t="str">
        <x:v>Esnek altlık</x:v>
      </x:c>
      <x:c r="C135" s="46" t="str">
        <x:v>Elastikleştirilmiş EPS-T</x:v>
      </x:c>
      <x:c r="D135" s="46" t="str">
        <x:v>GENERIC</x:v>
      </x:c>
      <x:c r="E135" s="46" t="str">
        <x:v>EPS-T</x:v>
      </x:c>
      <x:c r="F135" s="70" t="str">
        <x:v>ENGINEERING_DEFAULT</x:v>
      </x:c>
      <x:c r="G135" s="54" t="n">
        <x:v>15</x:v>
      </x:c>
      <x:c r="H135" s="54" t="n">
        <x:v>15</x:v>
      </x:c>
      <x:c r="I135" s="74" t="n">
        <x:f>IF(OR(G135="",H135=""),"",G135/1000*H135)</x:f>
        <x:v>0.22499999999999998</x:v>
      </x:c>
      <x:c r="J135" s="90" t="n">
        <x:v>0.0003</x:v>
      </x:c>
      <x:c r="K135" s="62" t="n">
        <x:v>0.1</x:v>
      </x:c>
      <x:c r="L135" s="62" t="n">
        <x:v>0.12</x:v>
      </x:c>
      <x:c r="M135" s="54" t="n">
        <x:v>20</x:v>
      </x:c>
      <x:c r="N135" s="54" t="n">
        <x:v>2</x:v>
      </x:c>
      <x:c r="O135" s="62" t="n">
        <x:v>0.04</x:v>
      </x:c>
      <x:c r="P135" s="46" t="str">
        <x:v>Kaplama altı veya yüzer şap altı</x:v>
      </x:c>
      <x:c r="Q135" s="46" t="str">
        <x:v>DÜŞÜK</x:v>
      </x:c>
      <x:c r="R135" s="46" t="str"/>
      <x:c r="S135" s="50" t="str">
        <x:v>s' nominal başlangıç değeridir; EN 29052-1 / ISO 9052-1 test verisi tercih edilmelidir.</x:v>
      </x:c>
    </x:row>
    <x:row r="136">
      <x:c r="A136" s="46" t="str">
        <x:v>FL-UND-EPS-T-20</x:v>
      </x:c>
      <x:c r="B136" s="46" t="str">
        <x:v>Esnek altlık</x:v>
      </x:c>
      <x:c r="C136" s="46" t="str">
        <x:v>Elastikleştirilmiş EPS-T</x:v>
      </x:c>
      <x:c r="D136" s="46" t="str">
        <x:v>GENERIC</x:v>
      </x:c>
      <x:c r="E136" s="46" t="str">
        <x:v>EPS-T</x:v>
      </x:c>
      <x:c r="F136" s="70" t="str">
        <x:v>ENGINEERING_DEFAULT</x:v>
      </x:c>
      <x:c r="G136" s="54" t="n">
        <x:v>20</x:v>
      </x:c>
      <x:c r="H136" s="54" t="n">
        <x:v>15</x:v>
      </x:c>
      <x:c r="I136" s="74" t="n">
        <x:f>IF(OR(G136="",H136=""),"",G136/1000*H136)</x:f>
        <x:v>0.3</x:v>
      </x:c>
      <x:c r="J136" s="90" t="n">
        <x:v>0.0003</x:v>
      </x:c>
      <x:c r="K136" s="62" t="n">
        <x:v>0.1</x:v>
      </x:c>
      <x:c r="L136" s="62" t="n">
        <x:v>0.12</x:v>
      </x:c>
      <x:c r="M136" s="54" t="n">
        <x:v>20</x:v>
      </x:c>
      <x:c r="N136" s="54" t="n">
        <x:v>2</x:v>
      </x:c>
      <x:c r="O136" s="62" t="n">
        <x:v>0.04</x:v>
      </x:c>
      <x:c r="P136" s="46" t="str">
        <x:v>Kaplama altı veya yüzer şap altı</x:v>
      </x:c>
      <x:c r="Q136" s="46" t="str">
        <x:v>DÜŞÜK</x:v>
      </x:c>
      <x:c r="R136" s="46" t="str"/>
      <x:c r="S136" s="50" t="str">
        <x:v>s' nominal başlangıç değeridir; EN 29052-1 / ISO 9052-1 test verisi tercih edilmelidir.</x:v>
      </x:c>
    </x:row>
    <x:row r="137">
      <x:c r="A137" s="46" t="str">
        <x:v>FL-UND-EPS-T-25</x:v>
      </x:c>
      <x:c r="B137" s="46" t="str">
        <x:v>Esnek altlık</x:v>
      </x:c>
      <x:c r="C137" s="46" t="str">
        <x:v>Elastikleştirilmiş EPS-T</x:v>
      </x:c>
      <x:c r="D137" s="46" t="str">
        <x:v>GENERIC</x:v>
      </x:c>
      <x:c r="E137" s="46" t="str">
        <x:v>EPS-T</x:v>
      </x:c>
      <x:c r="F137" s="70" t="str">
        <x:v>ENGINEERING_DEFAULT</x:v>
      </x:c>
      <x:c r="G137" s="54" t="n">
        <x:v>25</x:v>
      </x:c>
      <x:c r="H137" s="54" t="n">
        <x:v>15</x:v>
      </x:c>
      <x:c r="I137" s="74" t="n">
        <x:f>IF(OR(G137="",H137=""),"",G137/1000*H137)</x:f>
        <x:v>0.375</x:v>
      </x:c>
      <x:c r="J137" s="90" t="n">
        <x:v>0.0003</x:v>
      </x:c>
      <x:c r="K137" s="62" t="n">
        <x:v>0.1</x:v>
      </x:c>
      <x:c r="L137" s="62" t="n">
        <x:v>0.12</x:v>
      </x:c>
      <x:c r="M137" s="54" t="n">
        <x:v>20</x:v>
      </x:c>
      <x:c r="N137" s="54" t="n">
        <x:v>2</x:v>
      </x:c>
      <x:c r="O137" s="62" t="n">
        <x:v>0.04</x:v>
      </x:c>
      <x:c r="P137" s="46" t="str">
        <x:v>Kaplama altı veya yüzer şap altı</x:v>
      </x:c>
      <x:c r="Q137" s="46" t="str">
        <x:v>DÜŞÜK</x:v>
      </x:c>
      <x:c r="R137" s="46" t="str"/>
      <x:c r="S137" s="50" t="str">
        <x:v>s' nominal başlangıç değeridir; EN 29052-1 / ISO 9052-1 test verisi tercih edilmelidir.</x:v>
      </x:c>
    </x:row>
    <x:row r="138">
      <x:c r="A138" s="46" t="str">
        <x:v>FL-UND-EPS-T-30</x:v>
      </x:c>
      <x:c r="B138" s="46" t="str">
        <x:v>Esnek altlık</x:v>
      </x:c>
      <x:c r="C138" s="46" t="str">
        <x:v>Elastikleştirilmiş EPS-T</x:v>
      </x:c>
      <x:c r="D138" s="46" t="str">
        <x:v>GENERIC</x:v>
      </x:c>
      <x:c r="E138" s="46" t="str">
        <x:v>EPS-T</x:v>
      </x:c>
      <x:c r="F138" s="70" t="str">
        <x:v>ENGINEERING_DEFAULT</x:v>
      </x:c>
      <x:c r="G138" s="54" t="n">
        <x:v>30</x:v>
      </x:c>
      <x:c r="H138" s="54" t="n">
        <x:v>15</x:v>
      </x:c>
      <x:c r="I138" s="74" t="n">
        <x:f>IF(OR(G138="",H138=""),"",G138/1000*H138)</x:f>
        <x:v>0.44999999999999996</x:v>
      </x:c>
      <x:c r="J138" s="90" t="n">
        <x:v>0.0003</x:v>
      </x:c>
      <x:c r="K138" s="62" t="n">
        <x:v>0.1</x:v>
      </x:c>
      <x:c r="L138" s="62" t="n">
        <x:v>0.12</x:v>
      </x:c>
      <x:c r="M138" s="54" t="n">
        <x:v>20</x:v>
      </x:c>
      <x:c r="N138" s="54" t="n">
        <x:v>2</x:v>
      </x:c>
      <x:c r="O138" s="62" t="n">
        <x:v>0.04</x:v>
      </x:c>
      <x:c r="P138" s="46" t="str">
        <x:v>Kaplama altı veya yüzer şap altı</x:v>
      </x:c>
      <x:c r="Q138" s="46" t="str">
        <x:v>DÜŞÜK</x:v>
      </x:c>
      <x:c r="R138" s="46" t="str"/>
      <x:c r="S138" s="50" t="str">
        <x:v>s' nominal başlangıç değeridir; EN 29052-1 / ISO 9052-1 test verisi tercih edilmelidir.</x:v>
      </x:c>
    </x:row>
    <x:row r="139">
      <x:c r="A139" s="46" t="str">
        <x:v>FL-UND-PU-MAT-5</x:v>
      </x:c>
      <x:c r="B139" s="46" t="str">
        <x:v>Esnek altlık</x:v>
      </x:c>
      <x:c r="C139" s="46" t="str">
        <x:v>Mikrohücreli PU elastomer şilte</x:v>
      </x:c>
      <x:c r="D139" s="46" t="str">
        <x:v>GENERIC</x:v>
      </x:c>
      <x:c r="E139" s="46" t="str">
        <x:v>PU-MAT</x:v>
      </x:c>
      <x:c r="F139" s="70" t="str">
        <x:v>ENGINEERING_DEFAULT</x:v>
      </x:c>
      <x:c r="G139" s="54" t="n">
        <x:v>5</x:v>
      </x:c>
      <x:c r="H139" s="54" t="n">
        <x:v>350</x:v>
      </x:c>
      <x:c r="I139" s="74" t="n">
        <x:f>IF(OR(G139="",H139=""),"",G139/1000*H139)</x:f>
        <x:v>1.75</x:v>
      </x:c>
      <x:c r="J139" s="90" t="n">
        <x:v>0.001</x:v>
      </x:c>
      <x:c r="K139" s="62" t="n">
        <x:v>0.49</x:v>
      </x:c>
      <x:c r="L139" s="62" t="n">
        <x:v>0.25</x:v>
      </x:c>
      <x:c r="M139" s="54" t="n">
        <x:v>15</x:v>
      </x:c>
      <x:c r="N139" s="54" t="n">
        <x:v>1</x:v>
      </x:c>
      <x:c r="O139" s="62" t="n">
        <x:v>0.06</x:v>
      </x:c>
      <x:c r="P139" s="46" t="str">
        <x:v>Kaplama altı veya yüzer şap altı</x:v>
      </x:c>
      <x:c r="Q139" s="46" t="str">
        <x:v>DÜŞÜK</x:v>
      </x:c>
      <x:c r="R139" s="46" t="str"/>
      <x:c r="S139" s="50" t="str">
        <x:v>s' nominal başlangıç değeridir; EN 29052-1 / ISO 9052-1 test verisi tercih edilmelidir.</x:v>
      </x:c>
    </x:row>
    <x:row r="140">
      <x:c r="A140" s="46" t="str">
        <x:v>FL-UND-PU-MAT-8</x:v>
      </x:c>
      <x:c r="B140" s="46" t="str">
        <x:v>Esnek altlık</x:v>
      </x:c>
      <x:c r="C140" s="46" t="str">
        <x:v>Mikrohücreli PU elastomer şilte</x:v>
      </x:c>
      <x:c r="D140" s="46" t="str">
        <x:v>GENERIC</x:v>
      </x:c>
      <x:c r="E140" s="46" t="str">
        <x:v>PU-MAT</x:v>
      </x:c>
      <x:c r="F140" s="70" t="str">
        <x:v>ENGINEERING_DEFAULT</x:v>
      </x:c>
      <x:c r="G140" s="54" t="n">
        <x:v>8</x:v>
      </x:c>
      <x:c r="H140" s="54" t="n">
        <x:v>350</x:v>
      </x:c>
      <x:c r="I140" s="74" t="n">
        <x:f>IF(OR(G140="",H140=""),"",G140/1000*H140)</x:f>
        <x:v>2.8000000000000003</x:v>
      </x:c>
      <x:c r="J140" s="90" t="n">
        <x:v>0.001</x:v>
      </x:c>
      <x:c r="K140" s="62" t="n">
        <x:v>0.49</x:v>
      </x:c>
      <x:c r="L140" s="62" t="n">
        <x:v>0.25</x:v>
      </x:c>
      <x:c r="M140" s="54" t="n">
        <x:v>15</x:v>
      </x:c>
      <x:c r="N140" s="54" t="n">
        <x:v>1</x:v>
      </x:c>
      <x:c r="O140" s="62" t="n">
        <x:v>0.06</x:v>
      </x:c>
      <x:c r="P140" s="46" t="str">
        <x:v>Kaplama altı veya yüzer şap altı</x:v>
      </x:c>
      <x:c r="Q140" s="46" t="str">
        <x:v>DÜŞÜK</x:v>
      </x:c>
      <x:c r="R140" s="46" t="str"/>
      <x:c r="S140" s="50" t="str">
        <x:v>s' nominal başlangıç değeridir; EN 29052-1 / ISO 9052-1 test verisi tercih edilmelidir.</x:v>
      </x:c>
    </x:row>
    <x:row r="141">
      <x:c r="A141" s="46" t="str">
        <x:v>FL-UND-PU-MAT-10</x:v>
      </x:c>
      <x:c r="B141" s="46" t="str">
        <x:v>Esnek altlık</x:v>
      </x:c>
      <x:c r="C141" s="46" t="str">
        <x:v>Mikrohücreli PU elastomer şilte</x:v>
      </x:c>
      <x:c r="D141" s="46" t="str">
        <x:v>GENERIC</x:v>
      </x:c>
      <x:c r="E141" s="46" t="str">
        <x:v>PU-MAT</x:v>
      </x:c>
      <x:c r="F141" s="70" t="str">
        <x:v>ENGINEERING_DEFAULT</x:v>
      </x:c>
      <x:c r="G141" s="54" t="n">
        <x:v>10</x:v>
      </x:c>
      <x:c r="H141" s="54" t="n">
        <x:v>350</x:v>
      </x:c>
      <x:c r="I141" s="74" t="n">
        <x:f>IF(OR(G141="",H141=""),"",G141/1000*H141)</x:f>
        <x:v>3.5</x:v>
      </x:c>
      <x:c r="J141" s="90" t="n">
        <x:v>0.001</x:v>
      </x:c>
      <x:c r="K141" s="62" t="n">
        <x:v>0.49</x:v>
      </x:c>
      <x:c r="L141" s="62" t="n">
        <x:v>0.25</x:v>
      </x:c>
      <x:c r="M141" s="54" t="n">
        <x:v>15</x:v>
      </x:c>
      <x:c r="N141" s="54" t="n">
        <x:v>1</x:v>
      </x:c>
      <x:c r="O141" s="62" t="n">
        <x:v>0.06</x:v>
      </x:c>
      <x:c r="P141" s="46" t="str">
        <x:v>Kaplama altı veya yüzer şap altı</x:v>
      </x:c>
      <x:c r="Q141" s="46" t="str">
        <x:v>DÜŞÜK</x:v>
      </x:c>
      <x:c r="R141" s="46" t="str"/>
      <x:c r="S141" s="50" t="str">
        <x:v>s' nominal başlangıç değeridir; EN 29052-1 / ISO 9052-1 test verisi tercih edilmelidir.</x:v>
      </x:c>
    </x:row>
    <x:row r="142">
      <x:c r="A142" s="46" t="str">
        <x:v>FL-UND-PU-MAT-12</x:v>
      </x:c>
      <x:c r="B142" s="46" t="str">
        <x:v>Esnek altlık</x:v>
      </x:c>
      <x:c r="C142" s="46" t="str">
        <x:v>Mikrohücreli PU elastomer şilte</x:v>
      </x:c>
      <x:c r="D142" s="46" t="str">
        <x:v>GENERIC</x:v>
      </x:c>
      <x:c r="E142" s="46" t="str">
        <x:v>PU-MAT</x:v>
      </x:c>
      <x:c r="F142" s="70" t="str">
        <x:v>ENGINEERING_DEFAULT</x:v>
      </x:c>
      <x:c r="G142" s="54" t="n">
        <x:v>12</x:v>
      </x:c>
      <x:c r="H142" s="54" t="n">
        <x:v>350</x:v>
      </x:c>
      <x:c r="I142" s="74" t="n">
        <x:f>IF(OR(G142="",H142=""),"",G142/1000*H142)</x:f>
        <x:v>4.2</x:v>
      </x:c>
      <x:c r="J142" s="90" t="n">
        <x:v>0.001</x:v>
      </x:c>
      <x:c r="K142" s="62" t="n">
        <x:v>0.49</x:v>
      </x:c>
      <x:c r="L142" s="62" t="n">
        <x:v>0.25</x:v>
      </x:c>
      <x:c r="M142" s="54" t="n">
        <x:v>15</x:v>
      </x:c>
      <x:c r="N142" s="54" t="n">
        <x:v>1</x:v>
      </x:c>
      <x:c r="O142" s="62" t="n">
        <x:v>0.06</x:v>
      </x:c>
      <x:c r="P142" s="46" t="str">
        <x:v>Kaplama altı veya yüzer şap altı</x:v>
      </x:c>
      <x:c r="Q142" s="46" t="str">
        <x:v>DÜŞÜK</x:v>
      </x:c>
      <x:c r="R142" s="46" t="str"/>
      <x:c r="S142" s="50" t="str">
        <x:v>s' nominal başlangıç değeridir; EN 29052-1 / ISO 9052-1 test verisi tercih edilmelidir.</x:v>
      </x:c>
    </x:row>
    <x:row r="143">
      <x:c r="A143" s="46" t="str">
        <x:v>FL-GETZNER-AFM29-11</x:v>
      </x:c>
      <x:c r="B143" s="46" t="str">
        <x:v>Esnek altlık</x:v>
      </x:c>
      <x:c r="C143" s="46" t="str">
        <x:v>Mikrohücreli PU akustik şilte</x:v>
      </x:c>
      <x:c r="D143" s="46" t="str">
        <x:v>Getzner</x:v>
      </x:c>
      <x:c r="E143" s="46" t="str">
        <x:v>Acoustic Floor Mat 29</x:v>
      </x:c>
      <x:c r="F143" s="70" t="str">
        <x:v>MANUFACTURER_VERIFIED</x:v>
      </x:c>
      <x:c r="G143" s="54" t="n">
        <x:v>11</x:v>
      </x:c>
      <x:c r="H143" s="54"/>
      <x:c r="I143" s="74" t="str">
        <x:f>IF(OR(G143="",H143=""),"",G143/1000*H143)</x:f>
      </x:c>
      <x:c r="J143" s="90"/>
      <x:c r="K143" s="62"/>
      <x:c r="L143" s="62"/>
      <x:c r="M143" s="54" t="n">
        <x:v>10</x:v>
      </x:c>
      <x:c r="N143" s="54" t="n">
        <x:v>0.8</x:v>
      </x:c>
      <x:c r="O143" s="62"/>
      <x:c r="P143" s="46" t="str">
        <x:v>Yüzer şap / kuru şap altı</x:v>
      </x:c>
      <x:c r="Q143" s="46" t="str">
        <x:v>YÜKSEK</x:v>
      </x:c>
      <x:c r="R143" s="46" t="str">
        <x:v>https://www.getzner.com/media/14078/download/Data%20Sheet%20Acoustic%20Floor%20Mat%2029%20EN.pdf?v=5</x:v>
      </x:c>
      <x:c r="S143" s="50" t="str">
        <x:v>Teslim kalınlığı 11 mm, yük altında yaklaşık 6 mm; s'≤10 MN/m³, c≈0.8 mm.</x:v>
      </x:c>
    </x:row>
    <x:row r="144">
      <x:c r="A144" s="47" t="str">
        <x:v>FL-DITRA-SOUND-3p5</x:v>
      </x:c>
      <x:c r="B144" s="47" t="str">
        <x:v>Esnek altlık</x:v>
      </x:c>
      <x:c r="C144" s="47" t="str">
        <x:v>Ağır PE esaslı karo altı ayırıcı/akustik şilte</x:v>
      </x:c>
      <x:c r="D144" s="47" t="str">
        <x:v>Schlüter</x:v>
      </x:c>
      <x:c r="E144" s="47" t="str">
        <x:v>DITRA-SOUND</x:v>
      </x:c>
      <x:c r="F144" s="71" t="str">
        <x:v>MANUFACTURER_VERIFIED_PARTIAL</x:v>
      </x:c>
      <x:c r="G144" s="55" t="n">
        <x:v>3.5</x:v>
      </x:c>
      <x:c r="H144" s="55"/>
      <x:c r="I144" s="77" t="str">
        <x:f>IF(OR(G144="",H144=""),"",G144/1000*H144)</x:f>
      </x:c>
      <x:c r="J144" s="91"/>
      <x:c r="K144" s="63"/>
      <x:c r="L144" s="63"/>
      <x:c r="M144" s="55"/>
      <x:c r="N144" s="55"/>
      <x:c r="O144" s="63"/>
      <x:c r="P144" s="47" t="str">
        <x:v>Doğrudan bağlı seramik/taş altı</x:v>
      </x:c>
      <x:c r="Q144" s="47" t="str">
        <x:v>YÜKSEK (d, sistem ΔLw)</x:v>
      </x:c>
      <x:c r="R144" s="47" t="str">
        <x:v>https://assets.schluter.com/asset/570120892212/document_bd9ftlao5926r0vrla5ukp4b77/552264_Prospekt_Ditra_Sound_GB?content-disposition=inline</x:v>
      </x:c>
      <x:c r="S144" s="51" t="str">
        <x:v>Malzeme E/s' açıklanmamıştır; sistem ΔLw değeri Delta_Lnw sayfasındadır.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b41e4861982741c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4" hidden="0" customWidth="1"/>
    <x:col min="3" max="3" width="20" hidden="0" customWidth="1"/>
    <x:col min="4" max="4" width="28" hidden="0" customWidth="1"/>
    <x:col min="5" max="5" width="34" hidden="0" customWidth="1"/>
    <x:col min="6" max="6" width="12" hidden="0" customWidth="1"/>
    <x:col min="7" max="7" width="15" hidden="0" customWidth="1"/>
    <x:col min="8" max="8" width="16" hidden="0" customWidth="1"/>
    <x:col min="9" max="9" width="14" hidden="0" customWidth="1"/>
    <x:col min="10" max="10" width="13" hidden="0" customWidth="1"/>
    <x:col min="11" max="11" width="12" hidden="0" customWidth="1"/>
    <x:col min="12" max="12" width="13" hidden="0" customWidth="1"/>
    <x:col min="13" max="13" width="12" hidden="0" customWidth="1"/>
    <x:col min="14" max="14" width="27" hidden="0" customWidth="1"/>
    <x:col min="15" max="15" width="28" hidden="0" customWidth="1"/>
    <x:col min="16" max="16" width="34" hidden="0" customWidth="1"/>
    <x:col min="17" max="17" width="24" hidden="0" customWidth="1"/>
    <x:col min="18" max="18" width="20" hidden="0" customWidth="1"/>
    <x:col min="19" max="19" width="46" hidden="0" customWidth="1"/>
    <x:col min="20" max="20" width="54" hidden="0" customWidth="1"/>
  </x:cols>
  <x:sheetData>
    <x:row r="1" ht="30" customHeight="1">
      <x:c r="A1" s="5" t="str">
        <x:v>DARBE SESİ İYİLEŞTİRME VERİ TABANI – ΔLw / ΔLn,w / üretici sembolleri</x:v>
      </x:c>
    </x:row>
    <x:row r="2" ht="34" customHeight="1">
      <x:c r="A2" s="13" t="str">
        <x:v>Değerler yalnız belirtilen referans döşeme, şap/kütle ve test standardıyla anlamlıdır. Farklı test sistemlerindeki tek sayı değerlerini doğrudan sıralamak tasarım hatasına yol açabilir.</x:v>
      </x:c>
    </x:row>
    <x:row r="4" ht="42" customHeight="1">
      <x:c r="A4" s="23" t="str">
        <x:v>Test_ID</x:v>
      </x:c>
      <x:c r="B4" s="23" t="str">
        <x:v>Ürün_Türü</x:v>
      </x:c>
      <x:c r="C4" s="23" t="str">
        <x:v>Üretici</x:v>
      </x:c>
      <x:c r="D4" s="23" t="str">
        <x:v>Ürün / Model</x:v>
      </x:c>
      <x:c r="E4" s="23" t="str">
        <x:v>Test_Sistemi</x:v>
      </x:c>
      <x:c r="F4" s="23" t="str">
        <x:v>Kalınlık [mm]</x:v>
      </x:c>
      <x:c r="G4" s="23" t="str">
        <x:v>Yüzey_Kütlesi [kg/m²]</x:v>
      </x:c>
      <x:c r="H4" s="23" t="str">
        <x:v>Dinamik_Rijitlik_s' [MN/m³]</x:v>
      </x:c>
      <x:c r="I4" s="23" t="str">
        <x:v>Sıkışabilirlik [mm]</x:v>
      </x:c>
      <x:c r="J4" s="23" t="str">
        <x:v>Sonuç_Sembolü</x:v>
      </x:c>
      <x:c r="K4" s="23" t="str">
        <x:v>Δ_Min [dB]</x:v>
      </x:c>
      <x:c r="L4" s="23" t="str">
        <x:v>Δ_Beyan [dB]</x:v>
      </x:c>
      <x:c r="M4" s="23" t="str">
        <x:v>Δ_Max [dB]</x:v>
      </x:c>
      <x:c r="N4" s="23" t="str">
        <x:v>Test_Standardı</x:v>
      </x:c>
      <x:c r="O4" s="23" t="str">
        <x:v>Referans_Döşeme</x:v>
      </x:c>
      <x:c r="P4" s="23" t="str">
        <x:v>Şap / Kaplama Koşulu</x:v>
      </x:c>
      <x:c r="Q4" s="23" t="str">
        <x:v>Veri_Sınıfı</x:v>
      </x:c>
      <x:c r="R4" s="23" t="str">
        <x:v>Güven_Düzeyi</x:v>
      </x:c>
      <x:c r="S4" s="23" t="str">
        <x:v>Kaynak_URL</x:v>
      </x:c>
      <x:c r="T4" s="23" t="str">
        <x:v>Notlar</x:v>
      </x:c>
    </x:row>
    <x:row r="5">
      <x:c r="A5" s="46" t="str">
        <x:v>DL-REGUFOAM10</x:v>
      </x:c>
      <x:c r="B5" s="46" t="str">
        <x:v>Yüzer şap altlığı</x:v>
      </x:c>
      <x:c r="C5" s="46" t="str">
        <x:v>REGUPOL</x:v>
      </x:c>
      <x:c r="D5" s="46" t="str">
        <x:v>REGUFOAM sound 10</x:v>
      </x:c>
      <x:c r="E5" s="46" t="str">
        <x:v>Ağır hizmet çimento şap altı</x:v>
      </x:c>
      <x:c r="F5" s="54" t="n">
        <x:v>17</x:v>
      </x:c>
      <x:c r="G5" s="58" t="n">
        <x:v>2.3</x:v>
      </x:c>
      <x:c r="H5" s="54" t="n">
        <x:v>6</x:v>
      </x:c>
      <x:c r="I5" s="54" t="n">
        <x:v>2</x:v>
      </x:c>
      <x:c r="J5" s="46" t="str">
        <x:v>ΔLw</x:v>
      </x:c>
      <x:c r="K5" s="66" t="n">
        <x:v>34</x:v>
      </x:c>
      <x:c r="L5" s="66" t="n">
        <x:v>34</x:v>
      </x:c>
      <x:c r="M5" s="66"/>
      <x:c r="N5" s="46" t="str">
        <x:v>Üretici test standardı / raporu</x:v>
      </x:c>
      <x:c r="O5" s="46" t="str">
        <x:v>Ağır referans döşeme</x:v>
      </x:c>
      <x:c r="P5" s="46" t="str">
        <x:v>Yüzer çimento şap</x:v>
      </x:c>
      <x:c r="Q5" s="70" t="str">
        <x:v>MANUFACTURER_DECLARED</x:v>
      </x:c>
      <x:c r="R5" s="46" t="str">
        <x:v>YÜKSEK</x:v>
      </x:c>
      <x:c r="S5" s="46" t="str">
        <x:v>https://acoustics.regupol.com/products/range/regupol-sound/regufoam-sound-10/</x:v>
      </x:c>
      <x:c r="T5" s="50" t="str">
        <x:v>Beyan ≥34 dB; tam referans konstrüksiyonu rapordan kontrol edilmelidir.</x:v>
      </x:c>
    </x:row>
    <x:row r="6">
      <x:c r="A6" s="46" t="str">
        <x:v>DL-REGUPOL12-1</x:v>
      </x:c>
      <x:c r="B6" s="46" t="str">
        <x:v>Yüzer şap altlığı</x:v>
      </x:c>
      <x:c r="C6" s="46" t="str">
        <x:v>REGUPOL</x:v>
      </x:c>
      <x:c r="D6" s="46" t="str">
        <x:v>REGUPOL sound 12 – 1 kat</x:v>
      </x:c>
      <x:c r="E6" s="46" t="str">
        <x:v>Kauçuk elyaf şilte</x:v>
      </x:c>
      <x:c r="F6" s="54" t="n">
        <x:v>17</x:v>
      </x:c>
      <x:c r="G6" s="58" t="n">
        <x:v>4.5</x:v>
      </x:c>
      <x:c r="H6" s="54" t="n">
        <x:v>6</x:v>
      </x:c>
      <x:c r="I6" s="54" t="n">
        <x:v>2</x:v>
      </x:c>
      <x:c r="J6" s="46" t="str">
        <x:v>ΔLw</x:v>
      </x:c>
      <x:c r="K6" s="66" t="n">
        <x:v>31</x:v>
      </x:c>
      <x:c r="L6" s="66" t="n">
        <x:v>31</x:v>
      </x:c>
      <x:c r="M6" s="66"/>
      <x:c r="N6" s="46" t="str">
        <x:v>Üretici test standardı / raporu</x:v>
      </x:c>
      <x:c r="O6" s="46" t="str">
        <x:v>Ağır referans döşeme</x:v>
      </x:c>
      <x:c r="P6" s="46" t="str">
        <x:v>1 kat, yüzer şap</x:v>
      </x:c>
      <x:c r="Q6" s="70" t="str">
        <x:v>MANUFACTURER_DECLARED</x:v>
      </x:c>
      <x:c r="R6" s="46" t="str">
        <x:v>YÜKSEK</x:v>
      </x:c>
      <x:c r="S6" s="46" t="str">
        <x:v>https://acoustics.regupol.com/products/range/regupol-sound/regupol-sound-12/</x:v>
      </x:c>
      <x:c r="T6" s="50" t="str"/>
    </x:row>
    <x:row r="7">
      <x:c r="A7" s="46" t="str">
        <x:v>DL-REGUPOL12-2</x:v>
      </x:c>
      <x:c r="B7" s="46" t="str">
        <x:v>Yüzer şap altlığı</x:v>
      </x:c>
      <x:c r="C7" s="46" t="str">
        <x:v>REGUPOL</x:v>
      </x:c>
      <x:c r="D7" s="46" t="str">
        <x:v>REGUPOL sound 12 – 2 kat</x:v>
      </x:c>
      <x:c r="E7" s="46" t="str">
        <x:v>İki kat kauçuk elyaf şilte</x:v>
      </x:c>
      <x:c r="F7" s="54" t="n">
        <x:v>34</x:v>
      </x:c>
      <x:c r="G7" s="58" t="n">
        <x:v>9</x:v>
      </x:c>
      <x:c r="H7" s="54"/>
      <x:c r="I7" s="54"/>
      <x:c r="J7" s="46" t="str">
        <x:v>ΔLw</x:v>
      </x:c>
      <x:c r="K7" s="66" t="n">
        <x:v>36</x:v>
      </x:c>
      <x:c r="L7" s="66" t="n">
        <x:v>36</x:v>
      </x:c>
      <x:c r="M7" s="66"/>
      <x:c r="N7" s="46" t="str">
        <x:v>Üretici test standardı / raporu</x:v>
      </x:c>
      <x:c r="O7" s="46" t="str">
        <x:v>Ağır referans döşeme</x:v>
      </x:c>
      <x:c r="P7" s="46" t="str">
        <x:v>2 kat, yüzer şap</x:v>
      </x:c>
      <x:c r="Q7" s="70" t="str">
        <x:v>MANUFACTURER_DECLARED</x:v>
      </x:c>
      <x:c r="R7" s="46" t="str">
        <x:v>YÜKSEK</x:v>
      </x:c>
      <x:c r="S7" s="46" t="str">
        <x:v>https://acoustics.regupol.com/products/range/regupol-sound/regupol-sound-12/</x:v>
      </x:c>
      <x:c r="T7" s="50" t="str">
        <x:v>İki katın eşdeğer s' değeri ayrıca test/üretici verisinden alınmalıdır.</x:v>
      </x:c>
    </x:row>
    <x:row r="8">
      <x:c r="A8" s="46" t="str">
        <x:v>DL-REGUPOL15</x:v>
      </x:c>
      <x:c r="B8" s="46" t="str">
        <x:v>Yüzer şap altlığı</x:v>
      </x:c>
      <x:c r="C8" s="46" t="str">
        <x:v>REGUPOL</x:v>
      </x:c>
      <x:c r="D8" s="46" t="str">
        <x:v>REGUPOL sound 15</x:v>
      </x:c>
      <x:c r="E8" s="46" t="str">
        <x:v>Kauçuk elyaf şilte</x:v>
      </x:c>
      <x:c r="F8" s="54" t="n">
        <x:v>12</x:v>
      </x:c>
      <x:c r="G8" s="58" t="n">
        <x:v>3.7</x:v>
      </x:c>
      <x:c r="H8" s="54" t="n">
        <x:v>6</x:v>
      </x:c>
      <x:c r="I8" s="54" t="n">
        <x:v>2</x:v>
      </x:c>
      <x:c r="J8" s="46" t="str">
        <x:v>ΔLw</x:v>
      </x:c>
      <x:c r="K8" s="66" t="n">
        <x:v>29</x:v>
      </x:c>
      <x:c r="L8" s="66" t="n">
        <x:v>29</x:v>
      </x:c>
      <x:c r="M8" s="66"/>
      <x:c r="N8" s="46" t="str">
        <x:v>Üretici test standardı / raporu</x:v>
      </x:c>
      <x:c r="O8" s="46" t="str">
        <x:v>Ağır referans döşeme</x:v>
      </x:c>
      <x:c r="P8" s="46" t="str">
        <x:v>Yüzer şap</x:v>
      </x:c>
      <x:c r="Q8" s="70" t="str">
        <x:v>MANUFACTURER_DECLARED</x:v>
      </x:c>
      <x:c r="R8" s="46" t="str">
        <x:v>YÜKSEK</x:v>
      </x:c>
      <x:c r="S8" s="46" t="str">
        <x:v>https://acoustics.regupol.com/products/range/regupol-sound/regupol-sound-15/</x:v>
      </x:c>
      <x:c r="T8" s="50" t="str"/>
    </x:row>
    <x:row r="9">
      <x:c r="A9" s="46" t="str">
        <x:v>DL-REGUPOL17-1</x:v>
      </x:c>
      <x:c r="B9" s="46" t="str">
        <x:v>Yüzer şap altlığı</x:v>
      </x:c>
      <x:c r="C9" s="46" t="str">
        <x:v>REGUPOL</x:v>
      </x:c>
      <x:c r="D9" s="46" t="str">
        <x:v>REGUPOL sound 17 – 1 kat</x:v>
      </x:c>
      <x:c r="E9" s="46" t="str">
        <x:v>Kauçuk ağır şilte</x:v>
      </x:c>
      <x:c r="F9" s="54" t="n">
        <x:v>17</x:v>
      </x:c>
      <x:c r="G9" s="58" t="n">
        <x:v>7.3</x:v>
      </x:c>
      <x:c r="H9" s="54" t="n">
        <x:v>19</x:v>
      </x:c>
      <x:c r="I9" s="54" t="n">
        <x:v>2</x:v>
      </x:c>
      <x:c r="J9" s="46" t="str">
        <x:v>ΔLw</x:v>
      </x:c>
      <x:c r="K9" s="66" t="n">
        <x:v>26</x:v>
      </x:c>
      <x:c r="L9" s="66" t="n">
        <x:v>26</x:v>
      </x:c>
      <x:c r="M9" s="66"/>
      <x:c r="N9" s="46" t="str">
        <x:v>Üretici test standardı / raporu</x:v>
      </x:c>
      <x:c r="O9" s="46" t="str">
        <x:v>Ağır referans döşeme</x:v>
      </x:c>
      <x:c r="P9" s="46" t="str">
        <x:v>1 kat, yüzer şap</x:v>
      </x:c>
      <x:c r="Q9" s="70" t="str">
        <x:v>MANUFACTURER_DECLARED</x:v>
      </x:c>
      <x:c r="R9" s="46" t="str">
        <x:v>YÜKSEK</x:v>
      </x:c>
      <x:c r="S9" s="46" t="str">
        <x:v>https://acoustics.regupol.com/products/range/regupol-sound/regupol-sound-17/</x:v>
      </x:c>
      <x:c r="T9" s="50" t="str"/>
    </x:row>
    <x:row r="10">
      <x:c r="A10" s="46" t="str">
        <x:v>DL-REGUPOL17-2</x:v>
      </x:c>
      <x:c r="B10" s="46" t="str">
        <x:v>Yüzer şap altlığı</x:v>
      </x:c>
      <x:c r="C10" s="46" t="str">
        <x:v>REGUPOL</x:v>
      </x:c>
      <x:c r="D10" s="46" t="str">
        <x:v>REGUPOL sound 17 – 2 kat</x:v>
      </x:c>
      <x:c r="E10" s="46" t="str">
        <x:v>İki kat kauçuk ağır şilte</x:v>
      </x:c>
      <x:c r="F10" s="54" t="n">
        <x:v>34</x:v>
      </x:c>
      <x:c r="G10" s="58" t="n">
        <x:v>14.6</x:v>
      </x:c>
      <x:c r="H10" s="54"/>
      <x:c r="I10" s="54"/>
      <x:c r="J10" s="46" t="str">
        <x:v>ΔLw</x:v>
      </x:c>
      <x:c r="K10" s="66" t="n">
        <x:v>30</x:v>
      </x:c>
      <x:c r="L10" s="66" t="n">
        <x:v>30</x:v>
      </x:c>
      <x:c r="M10" s="66"/>
      <x:c r="N10" s="46" t="str">
        <x:v>Üretici test standardı / raporu</x:v>
      </x:c>
      <x:c r="O10" s="46" t="str">
        <x:v>Ağır referans döşeme</x:v>
      </x:c>
      <x:c r="P10" s="46" t="str">
        <x:v>2 kat, yüzer şap</x:v>
      </x:c>
      <x:c r="Q10" s="70" t="str">
        <x:v>MANUFACTURER_DECLARED</x:v>
      </x:c>
      <x:c r="R10" s="46" t="str">
        <x:v>YÜKSEK</x:v>
      </x:c>
      <x:c r="S10" s="46" t="str">
        <x:v>https://acoustics.regupol.com/products/range/regupol-sound/regupol-sound-17/</x:v>
      </x:c>
      <x:c r="T10" s="50" t="str"/>
    </x:row>
    <x:row r="11">
      <x:c r="A11" s="46" t="str">
        <x:v>DL-REGUPOL47</x:v>
      </x:c>
      <x:c r="B11" s="46" t="str">
        <x:v>Yüzer şap altlığı</x:v>
      </x:c>
      <x:c r="C11" s="46" t="str">
        <x:v>REGUPOL</x:v>
      </x:c>
      <x:c r="D11" s="46" t="str">
        <x:v>REGUPOL sound 47</x:v>
      </x:c>
      <x:c r="E11" s="46" t="str">
        <x:v>İnce ağır kauçuk şilte</x:v>
      </x:c>
      <x:c r="F11" s="54" t="n">
        <x:v>8</x:v>
      </x:c>
      <x:c r="G11" s="58" t="n">
        <x:v>3.6</x:v>
      </x:c>
      <x:c r="H11" s="54" t="n">
        <x:v>30</x:v>
      </x:c>
      <x:c r="I11" s="54" t="n">
        <x:v>1</x:v>
      </x:c>
      <x:c r="J11" s="46" t="str">
        <x:v>ΔLw</x:v>
      </x:c>
      <x:c r="K11" s="66" t="n">
        <x:v>22</x:v>
      </x:c>
      <x:c r="L11" s="66" t="n">
        <x:v>22</x:v>
      </x:c>
      <x:c r="M11" s="66"/>
      <x:c r="N11" s="46" t="str">
        <x:v>Üretici test standardı / raporu</x:v>
      </x:c>
      <x:c r="O11" s="46" t="str">
        <x:v>Ağır referans döşeme</x:v>
      </x:c>
      <x:c r="P11" s="46" t="str">
        <x:v>Yüzer şap</x:v>
      </x:c>
      <x:c r="Q11" s="70" t="str">
        <x:v>MANUFACTURER_DECLARED</x:v>
      </x:c>
      <x:c r="R11" s="46" t="str">
        <x:v>YÜKSEK</x:v>
      </x:c>
      <x:c r="S11" s="46" t="str">
        <x:v>https://acoustics.regupol.com/products/range/regupol-sound/regupol-sound-47/</x:v>
      </x:c>
      <x:c r="T11" s="50" t="str"/>
    </x:row>
    <x:row r="12">
      <x:c r="A12" s="46" t="str">
        <x:v>DL-ISOL-UPGREI</x:v>
      </x:c>
      <x:c r="B12" s="46" t="str">
        <x:v>Yüzer şap/kaplama altlığı</x:v>
      </x:c>
      <x:c r="C12" s="46" t="str">
        <x:v>Isolgomma</x:v>
      </x:c>
      <x:c r="D12" s="46" t="str">
        <x:v>UPGREI</x:v>
      </x:c>
      <x:c r="E12" s="46" t="str">
        <x:v>Elastomerik akustik şilte</x:v>
      </x:c>
      <x:c r="F12" s="54" t="n">
        <x:v>10</x:v>
      </x:c>
      <x:c r="G12" s="58" t="n">
        <x:v>2.65</x:v>
      </x:c>
      <x:c r="H12" s="54" t="n">
        <x:v>6</x:v>
      </x:c>
      <x:c r="I12" s="54"/>
      <x:c r="J12" s="46" t="str">
        <x:v>ΔLw</x:v>
      </x:c>
      <x:c r="K12" s="66" t="n">
        <x:v>26</x:v>
      </x:c>
      <x:c r="L12" s="66" t="n">
        <x:v>26</x:v>
      </x:c>
      <x:c r="M12" s="66"/>
      <x:c r="N12" s="46" t="str">
        <x:v>EN ISO 717-2 / üretici beyanı</x:v>
      </x:c>
      <x:c r="O12" s="46" t="str">
        <x:v>Standart ağır referans döşeme</x:v>
      </x:c>
      <x:c r="P12" s="46" t="str">
        <x:v>Ürüne göre şap/kaplama</x:v>
      </x:c>
      <x:c r="Q12" s="70" t="str">
        <x:v>MANUFACTURER_DECLARED</x:v>
      </x:c>
      <x:c r="R12" s="46" t="str">
        <x:v>ORTA-YÜKSEK</x:v>
      </x:c>
      <x:c r="S12" s="46" t="str">
        <x:v>https://www.isolgomma.com/product/upgrei/</x:v>
      </x:c>
      <x:c r="T12" s="50" t="str"/>
    </x:row>
    <x:row r="13">
      <x:c r="A13" s="46" t="str">
        <x:v>DL-ISOL-UPROLL</x:v>
      </x:c>
      <x:c r="B13" s="46" t="str">
        <x:v>Yüzer şap/kaplama altlığı</x:v>
      </x:c>
      <x:c r="C13" s="46" t="str">
        <x:v>Isolgomma</x:v>
      </x:c>
      <x:c r="D13" s="46" t="str">
        <x:v>UPROLL</x:v>
      </x:c>
      <x:c r="E13" s="46" t="str">
        <x:v>Elastomerik akustik şilte</x:v>
      </x:c>
      <x:c r="F13" s="54" t="n">
        <x:v>9</x:v>
      </x:c>
      <x:c r="G13" s="58" t="n">
        <x:v>3.1</x:v>
      </x:c>
      <x:c r="H13" s="54" t="n">
        <x:v>11</x:v>
      </x:c>
      <x:c r="I13" s="54"/>
      <x:c r="J13" s="46" t="str">
        <x:v>ΔLw</x:v>
      </x:c>
      <x:c r="K13" s="66" t="n">
        <x:v>24</x:v>
      </x:c>
      <x:c r="L13" s="66" t="n">
        <x:v>24</x:v>
      </x:c>
      <x:c r="M13" s="66"/>
      <x:c r="N13" s="46" t="str">
        <x:v>EN ISO 717-2 / üretici beyanı</x:v>
      </x:c>
      <x:c r="O13" s="46" t="str">
        <x:v>Standart ağır referans döşeme</x:v>
      </x:c>
      <x:c r="P13" s="46" t="str">
        <x:v>Ürüne göre şap/kaplama</x:v>
      </x:c>
      <x:c r="Q13" s="70" t="str">
        <x:v>MANUFACTURER_DECLARED</x:v>
      </x:c>
      <x:c r="R13" s="46" t="str">
        <x:v>ORTA-YÜKSEK</x:v>
      </x:c>
      <x:c r="S13" s="46" t="str">
        <x:v>https://www.isolgomma.com/product/uproll/</x:v>
      </x:c>
      <x:c r="T13" s="50" t="str"/>
    </x:row>
    <x:row r="14">
      <x:c r="A14" s="46" t="str">
        <x:v>DL-ISOL-GREI</x:v>
      </x:c>
      <x:c r="B14" s="46" t="str">
        <x:v>Yüzer şap/kaplama altlığı</x:v>
      </x:c>
      <x:c r="C14" s="46" t="str">
        <x:v>Isolgomma</x:v>
      </x:c>
      <x:c r="D14" s="46" t="str">
        <x:v>GREI</x:v>
      </x:c>
      <x:c r="E14" s="46" t="str">
        <x:v>Elastomerik akustik şilte</x:v>
      </x:c>
      <x:c r="F14" s="54" t="n">
        <x:v>7</x:v>
      </x:c>
      <x:c r="G14" s="58" t="n">
        <x:v>2.8</x:v>
      </x:c>
      <x:c r="H14" s="54" t="n">
        <x:v>8</x:v>
      </x:c>
      <x:c r="I14" s="54"/>
      <x:c r="J14" s="46" t="str">
        <x:v>ΔLw</x:v>
      </x:c>
      <x:c r="K14" s="66" t="n">
        <x:v>24</x:v>
      </x:c>
      <x:c r="L14" s="66" t="n">
        <x:v>24</x:v>
      </x:c>
      <x:c r="M14" s="66"/>
      <x:c r="N14" s="46" t="str">
        <x:v>EN ISO 717-2 / üretici beyanı</x:v>
      </x:c>
      <x:c r="O14" s="46" t="str">
        <x:v>Standart ağır referans döşeme</x:v>
      </x:c>
      <x:c r="P14" s="46" t="str">
        <x:v>Ürüne göre şap/kaplama</x:v>
      </x:c>
      <x:c r="Q14" s="70" t="str">
        <x:v>MANUFACTURER_DECLARED</x:v>
      </x:c>
      <x:c r="R14" s="46" t="str">
        <x:v>ORTA-YÜKSEK</x:v>
      </x:c>
      <x:c r="S14" s="46" t="str">
        <x:v>https://www.isolgomma.com/product/grei/</x:v>
      </x:c>
      <x:c r="T14" s="50" t="str"/>
    </x:row>
    <x:row r="15">
      <x:c r="A15" s="46" t="str">
        <x:v>DL-ISOL-ROLL</x:v>
      </x:c>
      <x:c r="B15" s="46" t="str">
        <x:v>Yüzer şap/kaplama altlığı</x:v>
      </x:c>
      <x:c r="C15" s="46" t="str">
        <x:v>Isolgomma</x:v>
      </x:c>
      <x:c r="D15" s="46" t="str">
        <x:v>ROLL</x:v>
      </x:c>
      <x:c r="E15" s="46" t="str">
        <x:v>Elastomerik akustik şilte</x:v>
      </x:c>
      <x:c r="F15" s="54" t="n">
        <x:v>5</x:v>
      </x:c>
      <x:c r="G15" s="58" t="n">
        <x:v>1.9</x:v>
      </x:c>
      <x:c r="H15" s="54" t="n">
        <x:v>21</x:v>
      </x:c>
      <x:c r="I15" s="54"/>
      <x:c r="J15" s="46" t="str">
        <x:v>ΔLw</x:v>
      </x:c>
      <x:c r="K15" s="66" t="n">
        <x:v>22</x:v>
      </x:c>
      <x:c r="L15" s="66" t="n">
        <x:v>22</x:v>
      </x:c>
      <x:c r="M15" s="66"/>
      <x:c r="N15" s="46" t="str">
        <x:v>EN ISO 717-2 / üretici beyanı</x:v>
      </x:c>
      <x:c r="O15" s="46" t="str">
        <x:v>Standart ağır referans döşeme</x:v>
      </x:c>
      <x:c r="P15" s="46" t="str">
        <x:v>Ürüne göre şap/kaplama</x:v>
      </x:c>
      <x:c r="Q15" s="70" t="str">
        <x:v>MANUFACTURER_DECLARED</x:v>
      </x:c>
      <x:c r="R15" s="46" t="str">
        <x:v>ORTA-YÜKSEK</x:v>
      </x:c>
      <x:c r="S15" s="46" t="str">
        <x:v>https://www.isolgomma.com/product/roll/</x:v>
      </x:c>
      <x:c r="T15" s="50" t="str"/>
    </x:row>
    <x:row r="16">
      <x:c r="A16" s="46" t="str">
        <x:v>DL-ISOL-HIGHMAT-30</x:v>
      </x:c>
      <x:c r="B16" s="46" t="str">
        <x:v>Yüzer şap/kaplama altlığı</x:v>
      </x:c>
      <x:c r="C16" s="46" t="str">
        <x:v>Isolgomma</x:v>
      </x:c>
      <x:c r="D16" s="46" t="str">
        <x:v>HIGHMAT 30</x:v>
      </x:c>
      <x:c r="E16" s="46" t="str">
        <x:v>Elastomerik akustik şilte</x:v>
      </x:c>
      <x:c r="F16" s="54" t="n">
        <x:v>30</x:v>
      </x:c>
      <x:c r="G16" s="58" t="n">
        <x:v>1.9</x:v>
      </x:c>
      <x:c r="H16" s="54" t="n">
        <x:v>4</x:v>
      </x:c>
      <x:c r="I16" s="54"/>
      <x:c r="J16" s="46" t="str">
        <x:v>ΔLw</x:v>
      </x:c>
      <x:c r="K16" s="66" t="n">
        <x:v>36</x:v>
      </x:c>
      <x:c r="L16" s="66" t="n">
        <x:v>36</x:v>
      </x:c>
      <x:c r="M16" s="66"/>
      <x:c r="N16" s="46" t="str">
        <x:v>EN ISO 717-2 / üretici beyanı</x:v>
      </x:c>
      <x:c r="O16" s="46" t="str">
        <x:v>Standart ağır referans döşeme</x:v>
      </x:c>
      <x:c r="P16" s="46" t="str">
        <x:v>Ürüne göre şap/kaplama</x:v>
      </x:c>
      <x:c r="Q16" s="70" t="str">
        <x:v>MANUFACTURER_DECLARED</x:v>
      </x:c>
      <x:c r="R16" s="46" t="str">
        <x:v>ORTA-YÜKSEK</x:v>
      </x:c>
      <x:c r="S16" s="46" t="str">
        <x:v>https://www.isolgomma.com/product/highmat/</x:v>
      </x:c>
      <x:c r="T16" s="50" t="str">
        <x:v>Üretici sayfasında anlatım ve tablo arasında 34/36 dB tutarsızlığı olabilir; resmi test raporunu esas alın.</x:v>
      </x:c>
    </x:row>
    <x:row r="17">
      <x:c r="A17" s="46" t="str">
        <x:v>DL-ISOL-BIFLOOR</x:v>
      </x:c>
      <x:c r="B17" s="46" t="str">
        <x:v>Yüzer şap/kaplama altlığı</x:v>
      </x:c>
      <x:c r="C17" s="46" t="str">
        <x:v>Isolgomma</x:v>
      </x:c>
      <x:c r="D17" s="46" t="str">
        <x:v>BIFLOOR</x:v>
      </x:c>
      <x:c r="E17" s="46" t="str">
        <x:v>Elastomerik akustik şilte</x:v>
      </x:c>
      <x:c r="F17" s="54" t="n">
        <x:v>28</x:v>
      </x:c>
      <x:c r="G17" s="58"/>
      <x:c r="H17" s="54" t="n">
        <x:v>10</x:v>
      </x:c>
      <x:c r="I17" s="54"/>
      <x:c r="J17" s="46" t="str">
        <x:v>ΔLw</x:v>
      </x:c>
      <x:c r="K17" s="66" t="n">
        <x:v>32</x:v>
      </x:c>
      <x:c r="L17" s="66" t="n">
        <x:v>32</x:v>
      </x:c>
      <x:c r="M17" s="66"/>
      <x:c r="N17" s="46" t="str">
        <x:v>EN ISO 717-2 / üretici beyanı</x:v>
      </x:c>
      <x:c r="O17" s="46" t="str">
        <x:v>Standart ağır referans döşeme</x:v>
      </x:c>
      <x:c r="P17" s="46" t="str">
        <x:v>Ürüne göre şap/kaplama</x:v>
      </x:c>
      <x:c r="Q17" s="70" t="str">
        <x:v>MANUFACTURER_DECLARED</x:v>
      </x:c>
      <x:c r="R17" s="46" t="str">
        <x:v>ORTA-YÜKSEK</x:v>
      </x:c>
      <x:c r="S17" s="46" t="str">
        <x:v>https://www.isolgomma.com/product/bifloor/</x:v>
      </x:c>
      <x:c r="T17" s="50" t="str">
        <x:v>Yüzey kütlesi bilgisi sayfa/kompozisyonla tutarsız görünebilir; burada boş bırakılmıştır.</x:v>
      </x:c>
    </x:row>
    <x:row r="18">
      <x:c r="A18" s="46" t="str">
        <x:v>DL-ISOL-SYLCER-3</x:v>
      </x:c>
      <x:c r="B18" s="46" t="str">
        <x:v>Yüzer şap/kaplama altlığı</x:v>
      </x:c>
      <x:c r="C18" s="46" t="str">
        <x:v>Isolgomma</x:v>
      </x:c>
      <x:c r="D18" s="46" t="str">
        <x:v>SYLCER 3</x:v>
      </x:c>
      <x:c r="E18" s="46" t="str">
        <x:v>Elastomerik akustik şilte</x:v>
      </x:c>
      <x:c r="F18" s="54" t="n">
        <x:v>3</x:v>
      </x:c>
      <x:c r="G18" s="58" t="n">
        <x:v>2.46</x:v>
      </x:c>
      <x:c r="H18" s="54" t="n">
        <x:v>180</x:v>
      </x:c>
      <x:c r="I18" s="54"/>
      <x:c r="J18" s="46" t="str">
        <x:v>ΔLw</x:v>
      </x:c>
      <x:c r="K18" s="66" t="n">
        <x:v>17</x:v>
      </x:c>
      <x:c r="L18" s="66" t="n">
        <x:v>17</x:v>
      </x:c>
      <x:c r="M18" s="66"/>
      <x:c r="N18" s="46" t="str">
        <x:v>EN ISO 717-2 / üretici beyanı</x:v>
      </x:c>
      <x:c r="O18" s="46" t="str">
        <x:v>Standart ağır referans döşeme</x:v>
      </x:c>
      <x:c r="P18" s="46" t="str">
        <x:v>Ürüne göre şap/kaplama</x:v>
      </x:c>
      <x:c r="Q18" s="70" t="str">
        <x:v>MANUFACTURER_DECLARED</x:v>
      </x:c>
      <x:c r="R18" s="46" t="str">
        <x:v>ORTA-YÜKSEK</x:v>
      </x:c>
      <x:c r="S18" s="46" t="str">
        <x:v>https://www.isolgomma.com/product/sylcer/</x:v>
      </x:c>
      <x:c r="T18" s="50" t="str">
        <x:v>Üretici açıklaması ve teknik tablo arasında 20/17 dB farkı olabilir; tabloda verilen değer kullanılmıştır.</x:v>
      </x:c>
    </x:row>
    <x:row r="19">
      <x:c r="A19" s="46" t="str">
        <x:v>DL-GETZ-AFM29-RC160-SCR172</x:v>
      </x:c>
      <x:c r="B19" s="46" t="str">
        <x:v>Yüzer döşeme altlığı</x:v>
      </x:c>
      <x:c r="C19" s="46" t="str">
        <x:v>Getzner</x:v>
      </x:c>
      <x:c r="D19" s="46" t="str">
        <x:v>Acoustic Floor Mat 29</x:v>
      </x:c>
      <x:c r="E19" s="46" t="str">
        <x:v>160 mm betonarme + 172 kg/m² beton şap</x:v>
      </x:c>
      <x:c r="F19" s="54" t="n">
        <x:v>11</x:v>
      </x:c>
      <x:c r="G19" s="58"/>
      <x:c r="H19" s="54" t="n">
        <x:v>10</x:v>
      </x:c>
      <x:c r="I19" s="54" t="n">
        <x:v>0.8</x:v>
      </x:c>
      <x:c r="J19" s="46" t="str">
        <x:v>ΔLw</x:v>
      </x:c>
      <x:c r="K19" s="66" t="n">
        <x:v>29</x:v>
      </x:c>
      <x:c r="L19" s="66" t="n">
        <x:v>29</x:v>
      </x:c>
      <x:c r="M19" s="66"/>
      <x:c r="N19" s="46" t="str">
        <x:v>ISO 10140 / ISO 717-2</x:v>
      </x:c>
      <x:c r="O19" s="46" t="str">
        <x:v>Üretici föyündeki test döşemesi</x:v>
      </x:c>
      <x:c r="P19" s="46" t="str">
        <x:v>160 mm betonarme + 172 kg/m² beton şap</x:v>
      </x:c>
      <x:c r="Q19" s="70" t="str">
        <x:v>LAB_TEST</x:v>
      </x:c>
      <x:c r="R19" s="46" t="str">
        <x:v>YÜKSEK</x:v>
      </x:c>
      <x:c r="S19" s="46" t="str">
        <x:v>https://www.getzner.com/media/14078/download/Data%20Sheet%20Acoustic%20Floor%20Mat%2029%20EN.pdf?v=5</x:v>
      </x:c>
      <x:c r="T19" s="50" t="str">
        <x:v>Teslim 11 mm, çalışma kalınlığı yaklaşık 6 mm. Sistem koşulu değişirse ΔLw aynen taşınmamalıdır.</x:v>
      </x:c>
    </x:row>
    <x:row r="20">
      <x:c r="A20" s="46" t="str">
        <x:v>DL-GETZ-AFM29-RC160-SCR197</x:v>
      </x:c>
      <x:c r="B20" s="46" t="str">
        <x:v>Yüzer döşeme altlığı</x:v>
      </x:c>
      <x:c r="C20" s="46" t="str">
        <x:v>Getzner</x:v>
      </x:c>
      <x:c r="D20" s="46" t="str">
        <x:v>Acoustic Floor Mat 29</x:v>
      </x:c>
      <x:c r="E20" s="46" t="str">
        <x:v>160 mm betonarme + 197 kg/m² beton şap</x:v>
      </x:c>
      <x:c r="F20" s="54" t="n">
        <x:v>11</x:v>
      </x:c>
      <x:c r="G20" s="58"/>
      <x:c r="H20" s="54" t="n">
        <x:v>10</x:v>
      </x:c>
      <x:c r="I20" s="54" t="n">
        <x:v>0.8</x:v>
      </x:c>
      <x:c r="J20" s="46" t="str">
        <x:v>ΔLw</x:v>
      </x:c>
      <x:c r="K20" s="66" t="n">
        <x:v>33</x:v>
      </x:c>
      <x:c r="L20" s="66" t="n">
        <x:v>33</x:v>
      </x:c>
      <x:c r="M20" s="66"/>
      <x:c r="N20" s="46" t="str">
        <x:v>ISO 10140 / ISO 717-2</x:v>
      </x:c>
      <x:c r="O20" s="46" t="str">
        <x:v>Üretici föyündeki test döşemesi</x:v>
      </x:c>
      <x:c r="P20" s="46" t="str">
        <x:v>160 mm betonarme + 197 kg/m² beton şap</x:v>
      </x:c>
      <x:c r="Q20" s="70" t="str">
        <x:v>LAB_TEST</x:v>
      </x:c>
      <x:c r="R20" s="46" t="str">
        <x:v>YÜKSEK</x:v>
      </x:c>
      <x:c r="S20" s="46" t="str">
        <x:v>https://www.getzner.com/media/14078/download/Data%20Sheet%20Acoustic%20Floor%20Mat%2029%20EN.pdf?v=5</x:v>
      </x:c>
      <x:c r="T20" s="50" t="str">
        <x:v>Teslim 11 mm, çalışma kalınlığı yaklaşık 6 mm. Sistem koşulu değişirse ΔLw aynen taşınmamalıdır.</x:v>
      </x:c>
    </x:row>
    <x:row r="21">
      <x:c r="A21" s="46" t="str">
        <x:v>DL-GETZ-AFM29-DRY63</x:v>
      </x:c>
      <x:c r="B21" s="46" t="str">
        <x:v>Yüzer döşeme altlığı</x:v>
      </x:c>
      <x:c r="C21" s="46" t="str">
        <x:v>Getzner</x:v>
      </x:c>
      <x:c r="D21" s="46" t="str">
        <x:v>Acoustic Floor Mat 29</x:v>
      </x:c>
      <x:c r="E21" s="46" t="str">
        <x:v>63 kg/m² alçı levha/kuru şap sistemi</x:v>
      </x:c>
      <x:c r="F21" s="54" t="n">
        <x:v>11</x:v>
      </x:c>
      <x:c r="G21" s="58"/>
      <x:c r="H21" s="54" t="n">
        <x:v>10</x:v>
      </x:c>
      <x:c r="I21" s="54" t="n">
        <x:v>0.8</x:v>
      </x:c>
      <x:c r="J21" s="46" t="str">
        <x:v>ΔLw</x:v>
      </x:c>
      <x:c r="K21" s="66" t="n">
        <x:v>30</x:v>
      </x:c>
      <x:c r="L21" s="66" t="n">
        <x:v>30</x:v>
      </x:c>
      <x:c r="M21" s="66"/>
      <x:c r="N21" s="46" t="str">
        <x:v>ISO 10140 / ISO 717-2</x:v>
      </x:c>
      <x:c r="O21" s="46" t="str">
        <x:v>Üretici föyündeki test döşemesi</x:v>
      </x:c>
      <x:c r="P21" s="46" t="str">
        <x:v>63 kg/m² alçı levha/kuru şap sistemi</x:v>
      </x:c>
      <x:c r="Q21" s="70" t="str">
        <x:v>LAB_TEST</x:v>
      </x:c>
      <x:c r="R21" s="46" t="str">
        <x:v>YÜKSEK</x:v>
      </x:c>
      <x:c r="S21" s="46" t="str">
        <x:v>https://www.getzner.com/media/14078/download/Data%20Sheet%20Acoustic%20Floor%20Mat%2029%20EN.pdf?v=5</x:v>
      </x:c>
      <x:c r="T21" s="50" t="str">
        <x:v>Teslim 11 mm, çalışma kalınlığı yaklaşık 6 mm. Sistem koşulu değişirse ΔLw aynen taşınmamalıdır.</x:v>
      </x:c>
    </x:row>
    <x:row r="22">
      <x:c r="A22" s="46" t="str">
        <x:v>DL-DAM-01</x:v>
      </x:c>
      <x:c r="B22" s="46" t="str">
        <x:v>Yüzer şap altlığı</x:v>
      </x:c>
      <x:c r="C22" s="46" t="str">
        <x:v>KRAIBURG Relastec / DAMTEC</x:v>
      </x:c>
      <x:c r="D22" s="46" t="str">
        <x:v>estra 6</x:v>
      </x:c>
      <x:c r="E22" s="46" t="str">
        <x:v>35 mm / 70 kg/m² şap</x:v>
      </x:c>
      <x:c r="F22" s="54" t="n">
        <x:v>6</x:v>
      </x:c>
      <x:c r="G22" s="58" t="n">
        <x:v>4.3</x:v>
      </x:c>
      <x:c r="H22" s="54" t="n">
        <x:v>70</x:v>
      </x:c>
      <x:c r="I22" s="54"/>
      <x:c r="J22" s="46" t="str">
        <x:v>ΔLw</x:v>
      </x:c>
      <x:c r="K22" s="66" t="n">
        <x:v>19</x:v>
      </x:c>
      <x:c r="L22" s="66" t="n">
        <x:v>19</x:v>
      </x:c>
      <x:c r="M22" s="66"/>
      <x:c r="N22" s="46" t="str">
        <x:v>EN ISO 10140 / EN ISO 717-2</x:v>
      </x:c>
      <x:c r="O22" s="46" t="str">
        <x:v>Üretici test döşemesi</x:v>
      </x:c>
      <x:c r="P22" s="46" t="str">
        <x:v>35 mm / 70 kg/m² şap</x:v>
      </x:c>
      <x:c r="Q22" s="70" t="str">
        <x:v>LAB_TEST</x:v>
      </x:c>
      <x:c r="R22" s="46" t="str">
        <x:v>YÜKSEK</x:v>
      </x:c>
      <x:c r="S22" s="46" t="str">
        <x:v>https://www.kraiburg-relastec.com/damtec/wp-content/uploads/sites/2/2019/09/DAMTEC_under_screed_EN_v1_2019.pdf</x:v>
      </x:c>
      <x:c r="T22" s="50" t="str">
        <x:v>Yalnız belirtilen test sistemiyle ilişkilidir.</x:v>
      </x:c>
    </x:row>
    <x:row r="23">
      <x:c r="A23" s="46" t="str">
        <x:v>DL-DAM-02</x:v>
      </x:c>
      <x:c r="B23" s="46" t="str">
        <x:v>Yüzer şap altlığı</x:v>
      </x:c>
      <x:c r="C23" s="46" t="str">
        <x:v>KRAIBURG Relastec / DAMTEC</x:v>
      </x:c>
      <x:c r="D23" s="46" t="str">
        <x:v>estra 6</x:v>
      </x:c>
      <x:c r="E23" s="46" t="str">
        <x:v>55 mm / 110 kg/m² şap</x:v>
      </x:c>
      <x:c r="F23" s="54" t="n">
        <x:v>6</x:v>
      </x:c>
      <x:c r="G23" s="58" t="n">
        <x:v>4.3</x:v>
      </x:c>
      <x:c r="H23" s="54" t="n">
        <x:v>70</x:v>
      </x:c>
      <x:c r="I23" s="54"/>
      <x:c r="J23" s="46" t="str">
        <x:v>ΔLw</x:v>
      </x:c>
      <x:c r="K23" s="66" t="n">
        <x:v>20</x:v>
      </x:c>
      <x:c r="L23" s="66" t="n">
        <x:v>20</x:v>
      </x:c>
      <x:c r="M23" s="66"/>
      <x:c r="N23" s="46" t="str">
        <x:v>EN ISO 10140 / EN ISO 717-2</x:v>
      </x:c>
      <x:c r="O23" s="46" t="str">
        <x:v>Üretici test döşemesi</x:v>
      </x:c>
      <x:c r="P23" s="46" t="str">
        <x:v>55 mm / 110 kg/m² şap</x:v>
      </x:c>
      <x:c r="Q23" s="70" t="str">
        <x:v>LAB_TEST</x:v>
      </x:c>
      <x:c r="R23" s="46" t="str">
        <x:v>YÜKSEK</x:v>
      </x:c>
      <x:c r="S23" s="46" t="str">
        <x:v>https://www.kraiburg-relastec.com/damtec/wp-content/uploads/sites/2/2019/09/DAMTEC_under_screed_EN_v1_2019.pdf</x:v>
      </x:c>
      <x:c r="T23" s="50" t="str">
        <x:v>Yalnız belirtilen test sistemiyle ilişkilidir.</x:v>
      </x:c>
    </x:row>
    <x:row r="24">
      <x:c r="A24" s="46" t="str">
        <x:v>DL-DAM-03</x:v>
      </x:c>
      <x:c r="B24" s="46" t="str">
        <x:v>Yüzer şap altlığı</x:v>
      </x:c>
      <x:c r="C24" s="46" t="str">
        <x:v>KRAIBURG Relastec / DAMTEC</x:v>
      </x:c>
      <x:c r="D24" s="46" t="str">
        <x:v>estra 8</x:v>
      </x:c>
      <x:c r="E24" s="46" t="str">
        <x:v>55 mm / 110 kg/m² şap</x:v>
      </x:c>
      <x:c r="F24" s="54" t="n">
        <x:v>8</x:v>
      </x:c>
      <x:c r="G24" s="58" t="n">
        <x:v>5.74</x:v>
      </x:c>
      <x:c r="H24" s="54" t="n">
        <x:v>60</x:v>
      </x:c>
      <x:c r="I24" s="54"/>
      <x:c r="J24" s="46" t="str">
        <x:v>ΔLw</x:v>
      </x:c>
      <x:c r="K24" s="66" t="n">
        <x:v>21</x:v>
      </x:c>
      <x:c r="L24" s="66" t="n">
        <x:v>21</x:v>
      </x:c>
      <x:c r="M24" s="66"/>
      <x:c r="N24" s="46" t="str">
        <x:v>EN ISO 10140 / EN ISO 717-2</x:v>
      </x:c>
      <x:c r="O24" s="46" t="str">
        <x:v>Üretici test döşemesi</x:v>
      </x:c>
      <x:c r="P24" s="46" t="str">
        <x:v>55 mm / 110 kg/m² şap</x:v>
      </x:c>
      <x:c r="Q24" s="70" t="str">
        <x:v>LAB_TEST</x:v>
      </x:c>
      <x:c r="R24" s="46" t="str">
        <x:v>YÜKSEK</x:v>
      </x:c>
      <x:c r="S24" s="46" t="str">
        <x:v>https://www.kraiburg-relastec.com/damtec/wp-content/uploads/sites/2/2019/09/DAMTEC_under_screed_EN_v1_2019.pdf</x:v>
      </x:c>
      <x:c r="T24" s="50" t="str">
        <x:v>Yalnız belirtilen test sistemiyle ilişkilidir.</x:v>
      </x:c>
    </x:row>
    <x:row r="25">
      <x:c r="A25" s="46" t="str">
        <x:v>DL-DAM-04</x:v>
      </x:c>
      <x:c r="B25" s="46" t="str">
        <x:v>Yüzer şap altlığı</x:v>
      </x:c>
      <x:c r="C25" s="46" t="str">
        <x:v>KRAIBURG Relastec / DAMTEC</x:v>
      </x:c>
      <x:c r="D25" s="46" t="str">
        <x:v>estra 3D 8/4</x:v>
      </x:c>
      <x:c r="E25" s="46" t="str">
        <x:v>50 mm / 120 kg/m² şap</x:v>
      </x:c>
      <x:c r="F25" s="54" t="n">
        <x:v>8</x:v>
      </x:c>
      <x:c r="G25" s="58"/>
      <x:c r="H25" s="54" t="n">
        <x:v>20</x:v>
      </x:c>
      <x:c r="I25" s="54"/>
      <x:c r="J25" s="46" t="str">
        <x:v>ΔLw</x:v>
      </x:c>
      <x:c r="K25" s="66" t="n">
        <x:v>22</x:v>
      </x:c>
      <x:c r="L25" s="66" t="n">
        <x:v>22</x:v>
      </x:c>
      <x:c r="M25" s="66"/>
      <x:c r="N25" s="46" t="str">
        <x:v>EN ISO 10140 / EN ISO 717-2</x:v>
      </x:c>
      <x:c r="O25" s="46" t="str">
        <x:v>Üretici test döşemesi</x:v>
      </x:c>
      <x:c r="P25" s="46" t="str">
        <x:v>50 mm / 120 kg/m² şap</x:v>
      </x:c>
      <x:c r="Q25" s="70" t="str">
        <x:v>LAB_TEST</x:v>
      </x:c>
      <x:c r="R25" s="46" t="str">
        <x:v>YÜKSEK</x:v>
      </x:c>
      <x:c r="S25" s="46" t="str">
        <x:v>https://www.kraiburg-relastec.com/damtec/wp-content/uploads/sites/2/2019/09/DAMTEC_under_screed_EN_v1_2019.pdf</x:v>
      </x:c>
      <x:c r="T25" s="50" t="str">
        <x:v>Yalnız belirtilen test sistemiyle ilişkilidir.</x:v>
      </x:c>
    </x:row>
    <x:row r="26">
      <x:c r="A26" s="46" t="str">
        <x:v>DL-DAM-05</x:v>
      </x:c>
      <x:c r="B26" s="46" t="str">
        <x:v>Yüzer şap altlığı</x:v>
      </x:c>
      <x:c r="C26" s="46" t="str">
        <x:v>KRAIBURG Relastec / DAMTEC</x:v>
      </x:c>
      <x:c r="D26" s="46" t="str">
        <x:v>estra 3D 8/4</x:v>
      </x:c>
      <x:c r="E26" s="46" t="str">
        <x:v>80 mm / 179 kg/m² şap</x:v>
      </x:c>
      <x:c r="F26" s="54" t="n">
        <x:v>8</x:v>
      </x:c>
      <x:c r="G26" s="58"/>
      <x:c r="H26" s="54" t="n">
        <x:v>20</x:v>
      </x:c>
      <x:c r="I26" s="54"/>
      <x:c r="J26" s="46" t="str">
        <x:v>ΔLw</x:v>
      </x:c>
      <x:c r="K26" s="66" t="n">
        <x:v>26</x:v>
      </x:c>
      <x:c r="L26" s="66" t="n">
        <x:v>26</x:v>
      </x:c>
      <x:c r="M26" s="66"/>
      <x:c r="N26" s="46" t="str">
        <x:v>EN ISO 10140 / EN ISO 717-2</x:v>
      </x:c>
      <x:c r="O26" s="46" t="str">
        <x:v>Üretici test döşemesi</x:v>
      </x:c>
      <x:c r="P26" s="46" t="str">
        <x:v>80 mm / 179 kg/m² şap</x:v>
      </x:c>
      <x:c r="Q26" s="70" t="str">
        <x:v>LAB_TEST</x:v>
      </x:c>
      <x:c r="R26" s="46" t="str">
        <x:v>YÜKSEK</x:v>
      </x:c>
      <x:c r="S26" s="46" t="str">
        <x:v>https://www.kraiburg-relastec.com/damtec/wp-content/uploads/sites/2/2019/09/DAMTEC_under_screed_EN_v1_2019.pdf</x:v>
      </x:c>
      <x:c r="T26" s="50" t="str">
        <x:v>Yalnız belirtilen test sistemiyle ilişkilidir.</x:v>
      </x:c>
    </x:row>
    <x:row r="27">
      <x:c r="A27" s="46" t="str">
        <x:v>DL-DAM-06</x:v>
      </x:c>
      <x:c r="B27" s="46" t="str">
        <x:v>Yüzer şap altlığı</x:v>
      </x:c>
      <x:c r="C27" s="46" t="str">
        <x:v>KRAIBURG Relastec / DAMTEC</x:v>
      </x:c>
      <x:c r="D27" s="46" t="str">
        <x:v>estra 3D 17/8</x:v>
      </x:c>
      <x:c r="E27" s="46" t="str">
        <x:v>55 mm / 106 kg/m² şap</x:v>
      </x:c>
      <x:c r="F27" s="54" t="n">
        <x:v>17</x:v>
      </x:c>
      <x:c r="G27" s="58"/>
      <x:c r="H27" s="54" t="n">
        <x:v>15</x:v>
      </x:c>
      <x:c r="I27" s="54"/>
      <x:c r="J27" s="46" t="str">
        <x:v>ΔLw</x:v>
      </x:c>
      <x:c r="K27" s="66" t="n">
        <x:v>26</x:v>
      </x:c>
      <x:c r="L27" s="66" t="n">
        <x:v>26</x:v>
      </x:c>
      <x:c r="M27" s="66"/>
      <x:c r="N27" s="46" t="str">
        <x:v>EN ISO 10140 / EN ISO 717-2</x:v>
      </x:c>
      <x:c r="O27" s="46" t="str">
        <x:v>Üretici test döşemesi</x:v>
      </x:c>
      <x:c r="P27" s="46" t="str">
        <x:v>55 mm / 106 kg/m² şap</x:v>
      </x:c>
      <x:c r="Q27" s="70" t="str">
        <x:v>LAB_TEST</x:v>
      </x:c>
      <x:c r="R27" s="46" t="str">
        <x:v>YÜKSEK</x:v>
      </x:c>
      <x:c r="S27" s="46" t="str">
        <x:v>https://www.kraiburg-relastec.com/damtec/wp-content/uploads/sites/2/2019/09/DAMTEC_under_screed_EN_v1_2019.pdf</x:v>
      </x:c>
      <x:c r="T27" s="50" t="str">
        <x:v>Yalnız belirtilen test sistemiyle ilişkilidir.</x:v>
      </x:c>
    </x:row>
    <x:row r="28">
      <x:c r="A28" s="46" t="str">
        <x:v>DL-DAM-07</x:v>
      </x:c>
      <x:c r="B28" s="46" t="str">
        <x:v>Yüzer şap altlığı</x:v>
      </x:c>
      <x:c r="C28" s="46" t="str">
        <x:v>KRAIBURG Relastec / DAMTEC</x:v>
      </x:c>
      <x:c r="D28" s="46" t="str">
        <x:v>estra 3D 17/8</x:v>
      </x:c>
      <x:c r="E28" s="46" t="str">
        <x:v>80 mm / 179 kg/m² şap</x:v>
      </x:c>
      <x:c r="F28" s="54" t="n">
        <x:v>17</x:v>
      </x:c>
      <x:c r="G28" s="58"/>
      <x:c r="H28" s="54" t="n">
        <x:v>15</x:v>
      </x:c>
      <x:c r="I28" s="54"/>
      <x:c r="J28" s="46" t="str">
        <x:v>ΔLw</x:v>
      </x:c>
      <x:c r="K28" s="66" t="n">
        <x:v>30</x:v>
      </x:c>
      <x:c r="L28" s="66" t="n">
        <x:v>30</x:v>
      </x:c>
      <x:c r="M28" s="66"/>
      <x:c r="N28" s="46" t="str">
        <x:v>EN ISO 10140 / EN ISO 717-2</x:v>
      </x:c>
      <x:c r="O28" s="46" t="str">
        <x:v>Üretici test döşemesi</x:v>
      </x:c>
      <x:c r="P28" s="46" t="str">
        <x:v>80 mm / 179 kg/m² şap</x:v>
      </x:c>
      <x:c r="Q28" s="70" t="str">
        <x:v>LAB_TEST</x:v>
      </x:c>
      <x:c r="R28" s="46" t="str">
        <x:v>YÜKSEK</x:v>
      </x:c>
      <x:c r="S28" s="46" t="str">
        <x:v>https://www.kraiburg-relastec.com/damtec/wp-content/uploads/sites/2/2019/09/DAMTEC_under_screed_EN_v1_2019.pdf</x:v>
      </x:c>
      <x:c r="T28" s="50" t="str">
        <x:v>Yalnız belirtilen test sistemiyle ilişkilidir.</x:v>
      </x:c>
    </x:row>
    <x:row r="29">
      <x:c r="A29" s="46" t="str">
        <x:v>DL-DAM-08</x:v>
      </x:c>
      <x:c r="B29" s="46" t="str">
        <x:v>Yüzer şap altlığı</x:v>
      </x:c>
      <x:c r="C29" s="46" t="str">
        <x:v>KRAIBURG Relastec / DAMTEC</x:v>
      </x:c>
      <x:c r="D29" s="46" t="str">
        <x:v>estra 3D 17/8 çift</x:v>
      </x:c>
      <x:c r="E29" s="46" t="str">
        <x:v>60 mm / 72 kg/m² şap; çift kat</x:v>
      </x:c>
      <x:c r="F29" s="54" t="n">
        <x:v>34</x:v>
      </x:c>
      <x:c r="G29" s="58"/>
      <x:c r="H29" s="54"/>
      <x:c r="I29" s="54"/>
      <x:c r="J29" s="46" t="str">
        <x:v>ΔLw</x:v>
      </x:c>
      <x:c r="K29" s="66" t="n">
        <x:v>32</x:v>
      </x:c>
      <x:c r="L29" s="66" t="n">
        <x:v>32</x:v>
      </x:c>
      <x:c r="M29" s="66"/>
      <x:c r="N29" s="46" t="str">
        <x:v>EN ISO 10140 / EN ISO 717-2</x:v>
      </x:c>
      <x:c r="O29" s="46" t="str">
        <x:v>Üretici test döşemesi</x:v>
      </x:c>
      <x:c r="P29" s="46" t="str">
        <x:v>60 mm / 72 kg/m² şap; çift kat</x:v>
      </x:c>
      <x:c r="Q29" s="70" t="str">
        <x:v>LAB_TEST</x:v>
      </x:c>
      <x:c r="R29" s="46" t="str">
        <x:v>YÜKSEK</x:v>
      </x:c>
      <x:c r="S29" s="46" t="str">
        <x:v>https://www.kraiburg-relastec.com/damtec/wp-content/uploads/sites/2/2019/09/DAMTEC_under_screed_EN_v1_2019.pdf</x:v>
      </x:c>
      <x:c r="T29" s="50" t="str">
        <x:v>Yalnız belirtilen test sistemiyle ilişkilidir.</x:v>
      </x:c>
    </x:row>
    <x:row r="30">
      <x:c r="A30" s="46" t="str">
        <x:v>DL-DITRA-SOUND</x:v>
      </x:c>
      <x:c r="B30" s="46" t="str">
        <x:v>Karo altı akustik membran</x:v>
      </x:c>
      <x:c r="C30" s="46" t="str">
        <x:v>Schlüter</x:v>
      </x:c>
      <x:c r="D30" s="46" t="str">
        <x:v>DITRA-SOUND</x:v>
      </x:c>
      <x:c r="E30" s="46" t="str">
        <x:v>Doğrudan bağlı seramik/taş sistemi</x:v>
      </x:c>
      <x:c r="F30" s="54" t="n">
        <x:v>3.5</x:v>
      </x:c>
      <x:c r="G30" s="58"/>
      <x:c r="H30" s="54"/>
      <x:c r="I30" s="54"/>
      <x:c r="J30" s="46" t="str">
        <x:v>ΔLw</x:v>
      </x:c>
      <x:c r="K30" s="66" t="n">
        <x:v>13</x:v>
      </x:c>
      <x:c r="L30" s="66" t="n">
        <x:v>13</x:v>
      </x:c>
      <x:c r="M30" s="66"/>
      <x:c r="N30" s="46" t="str">
        <x:v>DIN/BS EN ISO 140-8 (eski seri)</x:v>
      </x:c>
      <x:c r="O30" s="46" t="str">
        <x:v>Standart test döşemesi</x:v>
      </x:c>
      <x:c r="P30" s="46" t="str">
        <x:v>Seramik/taş kaplama</x:v>
      </x:c>
      <x:c r="Q30" s="70" t="str">
        <x:v>MANUFACTURER_DECLARED</x:v>
      </x:c>
      <x:c r="R30" s="46" t="str">
        <x:v>ORTA-YÜKSEK</x:v>
      </x:c>
      <x:c r="S30" s="46" t="str">
        <x:v>https://assets.schluter.com/asset/570120892212/document_bd9ftlao5926r0vrla5ukp4b77/552264_Prospekt_Ditra_Sound_GB?content-disposition=inline</x:v>
      </x:c>
      <x:c r="T30" s="50" t="str">
        <x:v>Eski test standardı; yeni ISO 10140/717-2 sonuçlarıyla doğrudan aynı kabul etmeyin.</x:v>
      </x:c>
    </x:row>
    <x:row r="31">
      <x:c r="A31" s="46" t="str">
        <x:v>DL-DANOSA-CONFORDAN900</x:v>
      </x:c>
      <x:c r="B31" s="46" t="str">
        <x:v>Karo altı akustik membran</x:v>
      </x:c>
      <x:c r="C31" s="46" t="str">
        <x:v>DANOSA</x:v>
      </x:c>
      <x:c r="D31" s="46" t="str">
        <x:v>CONFORDAN 900 HS</x:v>
      </x:c>
      <x:c r="E31" s="46" t="str">
        <x:v>Doğrudan bağlı seramik yüzer sistem</x:v>
      </x:c>
      <x:c r="F31" s="54"/>
      <x:c r="G31" s="58"/>
      <x:c r="H31" s="54"/>
      <x:c r="I31" s="54"/>
      <x:c r="J31" s="46" t="str">
        <x:v>ΔLn</x:v>
      </x:c>
      <x:c r="K31" s="66" t="n">
        <x:v>23</x:v>
      </x:c>
      <x:c r="L31" s="66" t="n">
        <x:v>23</x:v>
      </x:c>
      <x:c r="M31" s="66"/>
      <x:c r="N31" s="46" t="str">
        <x:v>Üretici beyanı</x:v>
      </x:c>
      <x:c r="O31" s="46" t="str">
        <x:v>Üretici test sistemi</x:v>
      </x:c>
      <x:c r="P31" s="46" t="str">
        <x:v>Seramik kaplama</x:v>
      </x:c>
      <x:c r="Q31" s="70" t="str">
        <x:v>MANUFACTURER_DECLARED</x:v>
      </x:c>
      <x:c r="R31" s="46" t="str">
        <x:v>ORTA</x:v>
      </x:c>
      <x:c r="S31" s="46" t="str">
        <x:v>https://www.danosa.com/global/product/confordan-900-hs/</x:v>
      </x:c>
      <x:c r="T31" s="50" t="str">
        <x:v>Sembol üretici sayfasındaki biçimiyle tutulmuştur; ΔLw/ΔLn,w tanımı rapordan doğrulanmalıdır.</x:v>
      </x:c>
    </x:row>
    <x:row r="32">
      <x:c r="A32" s="46" t="str">
        <x:v>DL-FORBO-SARLON19</x:v>
      </x:c>
      <x:c r="B32" s="46" t="str">
        <x:v>Akustik vinil</x:v>
      </x:c>
      <x:c r="C32" s="46" t="str">
        <x:v>Forbo</x:v>
      </x:c>
      <x:c r="D32" s="46" t="str">
        <x:v>Sarlon 19 dB</x:v>
      </x:c>
      <x:c r="E32" s="46" t="str">
        <x:v>Esnek zemin kaplaması</x:v>
      </x:c>
      <x:c r="F32" s="54"/>
      <x:c r="G32" s="58"/>
      <x:c r="H32" s="54"/>
      <x:c r="I32" s="54"/>
      <x:c r="J32" s="46" t="str">
        <x:v>ΔLw</x:v>
      </x:c>
      <x:c r="K32" s="66" t="n">
        <x:v>19</x:v>
      </x:c>
      <x:c r="L32" s="66" t="n">
        <x:v>19</x:v>
      </x:c>
      <x:c r="M32" s="66"/>
      <x:c r="N32" s="46" t="str">
        <x:v>EN ISO 717-2</x:v>
      </x:c>
      <x:c r="O32" s="46" t="str">
        <x:v>Standart ağır referans döşeme</x:v>
      </x:c>
      <x:c r="P32" s="46" t="str">
        <x:v>Ürün kaplama sistemi</x:v>
      </x:c>
      <x:c r="Q32" s="70" t="str">
        <x:v>MANUFACTURER_DECLARED</x:v>
      </x:c>
      <x:c r="R32" s="46" t="str">
        <x:v>ORTA-YÜKSEK</x:v>
      </x:c>
      <x:c r="S32" s="46" t="str">
        <x:v>https://www.forbo.com/flooring/en-gl/products/heterogeneous-vinyl/sarlon-19-db-acoustic-vinyl/bd1h5b</x:v>
      </x:c>
      <x:c r="T32" s="50" t="str">
        <x:v>Ürün varyantı/kalınlığı ve test raporu güncel TDS ile doğrulanmalıdır.</x:v>
      </x:c>
    </x:row>
    <x:row r="33">
      <x:c r="A33" s="46" t="str">
        <x:v>DL-FORBO-SARLON15</x:v>
      </x:c>
      <x:c r="B33" s="46" t="str">
        <x:v>Akustik vinil</x:v>
      </x:c>
      <x:c r="C33" s="46" t="str">
        <x:v>Forbo</x:v>
      </x:c>
      <x:c r="D33" s="46" t="str">
        <x:v>Sarlon 15 dB</x:v>
      </x:c>
      <x:c r="E33" s="46" t="str">
        <x:v>Esnek zemin kaplaması</x:v>
      </x:c>
      <x:c r="F33" s="54"/>
      <x:c r="G33" s="58"/>
      <x:c r="H33" s="54"/>
      <x:c r="I33" s="54"/>
      <x:c r="J33" s="46" t="str">
        <x:v>ΔLw</x:v>
      </x:c>
      <x:c r="K33" s="66" t="n">
        <x:v>15</x:v>
      </x:c>
      <x:c r="L33" s="66" t="n">
        <x:v>15</x:v>
      </x:c>
      <x:c r="M33" s="66"/>
      <x:c r="N33" s="46" t="str">
        <x:v>EN ISO 717-2</x:v>
      </x:c>
      <x:c r="O33" s="46" t="str">
        <x:v>Standart ağır referans döşeme</x:v>
      </x:c>
      <x:c r="P33" s="46" t="str">
        <x:v>Ürün kaplama sistemi</x:v>
      </x:c>
      <x:c r="Q33" s="70" t="str">
        <x:v>MANUFACTURER_DECLARED</x:v>
      </x:c>
      <x:c r="R33" s="46" t="str">
        <x:v>ORTA-YÜKSEK</x:v>
      </x:c>
      <x:c r="S33" s="46" t="str">
        <x:v>https://www.forbo.com/flooring/en-ie/products/sarlon-acoustic-flooring/sarlon-15-db-acoustic-vinyl/bg9g90</x:v>
      </x:c>
      <x:c r="T33" s="50" t="str">
        <x:v>Ürün varyantı/kalınlığı ve test raporu güncel TDS ile doğrulanmalıdır.</x:v>
      </x:c>
    </x:row>
    <x:row r="34">
      <x:c r="A34" s="46" t="str">
        <x:v>DL-FORBO-ETERNAL17</x:v>
      </x:c>
      <x:c r="B34" s="46" t="str">
        <x:v>Akustik vinil</x:v>
      </x:c>
      <x:c r="C34" s="46" t="str">
        <x:v>Forbo</x:v>
      </x:c>
      <x:c r="D34" s="46" t="str">
        <x:v>Eternal de Luxe Acoustic</x:v>
      </x:c>
      <x:c r="E34" s="46" t="str">
        <x:v>Esnek zemin kaplaması</x:v>
      </x:c>
      <x:c r="F34" s="54"/>
      <x:c r="G34" s="58"/>
      <x:c r="H34" s="54"/>
      <x:c r="I34" s="54"/>
      <x:c r="J34" s="46" t="str">
        <x:v>ΔLw</x:v>
      </x:c>
      <x:c r="K34" s="66" t="n">
        <x:v>17</x:v>
      </x:c>
      <x:c r="L34" s="66" t="n">
        <x:v>17</x:v>
      </x:c>
      <x:c r="M34" s="66"/>
      <x:c r="N34" s="46" t="str">
        <x:v>EN ISO 717-2</x:v>
      </x:c>
      <x:c r="O34" s="46" t="str">
        <x:v>Standart ağır referans döşeme</x:v>
      </x:c>
      <x:c r="P34" s="46" t="str">
        <x:v>Ürün kaplama sistemi</x:v>
      </x:c>
      <x:c r="Q34" s="70" t="str">
        <x:v>MANUFACTURER_DECLARED</x:v>
      </x:c>
      <x:c r="R34" s="46" t="str">
        <x:v>ORTA-YÜKSEK</x:v>
      </x:c>
      <x:c r="S34" s="46" t="str">
        <x:v>https://www.forbo.com/flooring/en-gl/products/acoustic-flooring/cknwc5</x:v>
      </x:c>
      <x:c r="T34" s="50" t="str">
        <x:v>Ürün varyantı/kalınlığı ve test raporu güncel TDS ile doğrulanmalıdır.</x:v>
      </x:c>
    </x:row>
    <x:row r="35">
      <x:c r="A35" s="46" t="str">
        <x:v>DL-FORBO-MODULUP19</x:v>
      </x:c>
      <x:c r="B35" s="46" t="str">
        <x:v>Gevşek serimli akustik vinil</x:v>
      </x:c>
      <x:c r="C35" s="46" t="str">
        <x:v>Forbo</x:v>
      </x:c>
      <x:c r="D35" s="46" t="str">
        <x:v>Modul'up 19 dB</x:v>
      </x:c>
      <x:c r="E35" s="46" t="str">
        <x:v>Esnek zemin kaplaması</x:v>
      </x:c>
      <x:c r="F35" s="54"/>
      <x:c r="G35" s="58"/>
      <x:c r="H35" s="54"/>
      <x:c r="I35" s="54"/>
      <x:c r="J35" s="46" t="str">
        <x:v>ΔLw</x:v>
      </x:c>
      <x:c r="K35" s="66" t="n">
        <x:v>19</x:v>
      </x:c>
      <x:c r="L35" s="66" t="n">
        <x:v>19</x:v>
      </x:c>
      <x:c r="M35" s="66"/>
      <x:c r="N35" s="46" t="str">
        <x:v>EN ISO 717-2</x:v>
      </x:c>
      <x:c r="O35" s="46" t="str">
        <x:v>Standart ağır referans döşeme</x:v>
      </x:c>
      <x:c r="P35" s="46" t="str">
        <x:v>Ürün kaplama sistemi</x:v>
      </x:c>
      <x:c r="Q35" s="70" t="str">
        <x:v>MANUFACTURER_DECLARED</x:v>
      </x:c>
      <x:c r="R35" s="46" t="str">
        <x:v>ORTA-YÜKSEK</x:v>
      </x:c>
      <x:c r="S35" s="46" t="str">
        <x:v>https://www.forbo.com/flooring/en-gl/products/acoustic-flooring/modul-up-19-db-loose-lay-vinyl/b7a824</x:v>
      </x:c>
      <x:c r="T35" s="50" t="str">
        <x:v>Ürün varyantı/kalınlığı ve test raporu güncel TDS ile doğrulanmalıdır.</x:v>
      </x:c>
    </x:row>
    <x:row r="36">
      <x:c r="A36" s="46" t="str">
        <x:v>DL-TARK-COMFORT19</x:v>
      </x:c>
      <x:c r="B36" s="46" t="str">
        <x:v>Modüler akustik vinil</x:v>
      </x:c>
      <x:c r="C36" s="46" t="str">
        <x:v>Tarkett</x:v>
      </x:c>
      <x:c r="D36" s="46" t="str">
        <x:v>Comfort Acoustic</x:v>
      </x:c>
      <x:c r="E36" s="46" t="str">
        <x:v>Esnek zemin kaplaması</x:v>
      </x:c>
      <x:c r="F36" s="54"/>
      <x:c r="G36" s="58"/>
      <x:c r="H36" s="54"/>
      <x:c r="I36" s="54"/>
      <x:c r="J36" s="46" t="str">
        <x:v>ΔLw</x:v>
      </x:c>
      <x:c r="K36" s="66" t="n">
        <x:v>19</x:v>
      </x:c>
      <x:c r="L36" s="66" t="n">
        <x:v>19</x:v>
      </x:c>
      <x:c r="M36" s="66"/>
      <x:c r="N36" s="46" t="str">
        <x:v>EN ISO 717-2</x:v>
      </x:c>
      <x:c r="O36" s="46" t="str">
        <x:v>Standart ağır referans döşeme</x:v>
      </x:c>
      <x:c r="P36" s="46" t="str">
        <x:v>Ürün kaplama sistemi</x:v>
      </x:c>
      <x:c r="Q36" s="70" t="str">
        <x:v>MANUFACTURER_DECLARED</x:v>
      </x:c>
      <x:c r="R36" s="46" t="str">
        <x:v>ORTA-YÜKSEK</x:v>
      </x:c>
      <x:c r="S36" s="46" t="str">
        <x:v>https://professionals.tarkett.com/en_EU/node/comfort-acoustic-loose-lay-modular-floor-21085</x:v>
      </x:c>
      <x:c r="T36" s="50" t="str">
        <x:v>Ürün varyantı/kalınlığı ve test raporu güncel TDS ile doğrulanmalıdır.</x:v>
      </x:c>
    </x:row>
    <x:row r="37">
      <x:c r="A37" s="46" t="str">
        <x:v>DL-TARK-IQOPT16</x:v>
      </x:c>
      <x:c r="B37" s="46" t="str">
        <x:v>Homojen akustik vinil</x:v>
      </x:c>
      <x:c r="C37" s="46" t="str">
        <x:v>Tarkett</x:v>
      </x:c>
      <x:c r="D37" s="46" t="str">
        <x:v>iQ Optima Acoustic</x:v>
      </x:c>
      <x:c r="E37" s="46" t="str">
        <x:v>Esnek zemin kaplaması</x:v>
      </x:c>
      <x:c r="F37" s="54"/>
      <x:c r="G37" s="58"/>
      <x:c r="H37" s="54"/>
      <x:c r="I37" s="54"/>
      <x:c r="J37" s="46" t="str">
        <x:v>ΔLw</x:v>
      </x:c>
      <x:c r="K37" s="66" t="n">
        <x:v>16</x:v>
      </x:c>
      <x:c r="L37" s="66" t="n">
        <x:v>16</x:v>
      </x:c>
      <x:c r="M37" s="66"/>
      <x:c r="N37" s="46" t="str">
        <x:v>EN ISO 717-2</x:v>
      </x:c>
      <x:c r="O37" s="46" t="str">
        <x:v>Standart ağır referans döşeme</x:v>
      </x:c>
      <x:c r="P37" s="46" t="str">
        <x:v>Ürün kaplama sistemi</x:v>
      </x:c>
      <x:c r="Q37" s="70" t="str">
        <x:v>MANUFACTURER_DECLARED</x:v>
      </x:c>
      <x:c r="R37" s="46" t="str">
        <x:v>ORTA-YÜKSEK</x:v>
      </x:c>
      <x:c r="S37" s="46" t="str">
        <x:v>https://professionals.tarkett.com/en_EU/collection-C000127-iq-optima-acoustic/optima-dark-sand</x:v>
      </x:c>
      <x:c r="T37" s="50" t="str">
        <x:v>Ürün varyantı/kalınlığı ve test raporu güncel TDS ile doğrulanmalıdır.</x:v>
      </x:c>
    </x:row>
    <x:row r="38">
      <x:c r="A38" s="46" t="str">
        <x:v>DL-TARK-IQNAT15</x:v>
      </x:c>
      <x:c r="B38" s="46" t="str">
        <x:v>Homojen akustik vinil</x:v>
      </x:c>
      <x:c r="C38" s="46" t="str">
        <x:v>Tarkett</x:v>
      </x:c>
      <x:c r="D38" s="46" t="str">
        <x:v>iQ Natural Acoustic</x:v>
      </x:c>
      <x:c r="E38" s="46" t="str">
        <x:v>Esnek zemin kaplaması</x:v>
      </x:c>
      <x:c r="F38" s="54"/>
      <x:c r="G38" s="58"/>
      <x:c r="H38" s="54"/>
      <x:c r="I38" s="54"/>
      <x:c r="J38" s="46" t="str">
        <x:v>ΔLw</x:v>
      </x:c>
      <x:c r="K38" s="66" t="n">
        <x:v>15</x:v>
      </x:c>
      <x:c r="L38" s="66" t="n">
        <x:v>15</x:v>
      </x:c>
      <x:c r="M38" s="66"/>
      <x:c r="N38" s="46" t="str">
        <x:v>EN ISO 717-2</x:v>
      </x:c>
      <x:c r="O38" s="46" t="str">
        <x:v>Standart ağır referans döşeme</x:v>
      </x:c>
      <x:c r="P38" s="46" t="str">
        <x:v>Ürün kaplama sistemi</x:v>
      </x:c>
      <x:c r="Q38" s="70" t="str">
        <x:v>MANUFACTURER_DECLARED</x:v>
      </x:c>
      <x:c r="R38" s="46" t="str">
        <x:v>ORTA-YÜKSEK</x:v>
      </x:c>
      <x:c r="S38" s="46" t="str">
        <x:v>https://professionals.tarkett.com/en_EU/node/iq-natural-sustainable-vinyl-flooring-9685</x:v>
      </x:c>
      <x:c r="T38" s="50" t="str">
        <x:v>Ürün varyantı/kalınlığı ve test raporu güncel TDS ile doğrulanmalıdır.</x:v>
      </x:c>
    </x:row>
    <x:row r="39">
      <x:c r="A39" s="46" t="str">
        <x:v>DL-GEN-CARPET</x:v>
      </x:c>
      <x:c r="B39" s="46" t="str">
        <x:v>Genel aralık</x:v>
      </x:c>
      <x:c r="C39" s="46" t="str">
        <x:v>GENERIC</x:v>
      </x:c>
      <x:c r="D39" s="46" t="str">
        <x:v>Halı / tekstil karo</x:v>
      </x:c>
      <x:c r="E39" s="46" t="str">
        <x:v>Tipik sistem aralığı</x:v>
      </x:c>
      <x:c r="F39" s="54"/>
      <x:c r="G39" s="58"/>
      <x:c r="H39" s="54"/>
      <x:c r="I39" s="54"/>
      <x:c r="J39" s="46" t="str">
        <x:v>ΔLw</x:v>
      </x:c>
      <x:c r="K39" s="66" t="n">
        <x:v>20</x:v>
      </x:c>
      <x:c r="L39" s="66" t="n">
        <x:v>25</x:v>
      </x:c>
      <x:c r="M39" s="66" t="n">
        <x:v>30</x:v>
      </x:c>
      <x:c r="N39" s="46" t="str">
        <x:v>Çeşitli / karşılaştırmalı</x:v>
      </x:c>
      <x:c r="O39" s="46" t="str">
        <x:v>Değişken</x:v>
      </x:c>
      <x:c r="P39" s="46" t="str">
        <x:v>Değişken</x:v>
      </x:c>
      <x:c r="Q39" s="70" t="str">
        <x:v>GENERIC_RANGE</x:v>
      </x:c>
      <x:c r="R39" s="46" t="str">
        <x:v>DÜŞÜK</x:v>
      </x:c>
      <x:c r="S39" s="46" t="str"/>
      <x:c r="T39" s="50" t="str">
        <x:v>Halı konstrüksiyonu ve altlıkla geniş aralık; tasarım beyanı olarak kullanılmamalıdır.</x:v>
      </x:c>
    </x:row>
    <x:row r="40">
      <x:c r="A40" s="46" t="str">
        <x:v>DL-GEN-ACOUSTIC-VINYL</x:v>
      </x:c>
      <x:c r="B40" s="46" t="str">
        <x:v>Genel aralık</x:v>
      </x:c>
      <x:c r="C40" s="46" t="str">
        <x:v>GENERIC</x:v>
      </x:c>
      <x:c r="D40" s="46" t="str">
        <x:v>Akustik vinil</x:v>
      </x:c>
      <x:c r="E40" s="46" t="str">
        <x:v>Tipik sistem aralığı</x:v>
      </x:c>
      <x:c r="F40" s="54"/>
      <x:c r="G40" s="58"/>
      <x:c r="H40" s="54"/>
      <x:c r="I40" s="54"/>
      <x:c r="J40" s="46" t="str">
        <x:v>ΔLw</x:v>
      </x:c>
      <x:c r="K40" s="66" t="n">
        <x:v>14</x:v>
      </x:c>
      <x:c r="L40" s="66" t="n">
        <x:v>18</x:v>
      </x:c>
      <x:c r="M40" s="66" t="n">
        <x:v>21</x:v>
      </x:c>
      <x:c r="N40" s="46" t="str">
        <x:v>Çeşitli / karşılaştırmalı</x:v>
      </x:c>
      <x:c r="O40" s="46" t="str">
        <x:v>Değişken</x:v>
      </x:c>
      <x:c r="P40" s="46" t="str">
        <x:v>Değişken</x:v>
      </x:c>
      <x:c r="Q40" s="70" t="str">
        <x:v>GENERIC_RANGE</x:v>
      </x:c>
      <x:c r="R40" s="46" t="str">
        <x:v>DÜŞÜK</x:v>
      </x:c>
      <x:c r="S40" s="46" t="str"/>
      <x:c r="T40" s="50" t="str">
        <x:v>Köpük sırtlı ürünler; tasarım beyanı olarak kullanılmamalıdır.</x:v>
      </x:c>
    </x:row>
    <x:row r="41">
      <x:c r="A41" s="46" t="str">
        <x:v>DL-GEN-RUBBER</x:v>
      </x:c>
      <x:c r="B41" s="46" t="str">
        <x:v>Genel aralık</x:v>
      </x:c>
      <x:c r="C41" s="46" t="str">
        <x:v>GENERIC</x:v>
      </x:c>
      <x:c r="D41" s="46" t="str">
        <x:v>Akustik kauçuk kaplama</x:v>
      </x:c>
      <x:c r="E41" s="46" t="str">
        <x:v>Tipik sistem aralığı</x:v>
      </x:c>
      <x:c r="F41" s="54"/>
      <x:c r="G41" s="58"/>
      <x:c r="H41" s="54"/>
      <x:c r="I41" s="54"/>
      <x:c r="J41" s="46" t="str">
        <x:v>ΔLw</x:v>
      </x:c>
      <x:c r="K41" s="66" t="n">
        <x:v>8</x:v>
      </x:c>
      <x:c r="L41" s="66" t="n">
        <x:v>14</x:v>
      </x:c>
      <x:c r="M41" s="66" t="n">
        <x:v>20</x:v>
      </x:c>
      <x:c r="N41" s="46" t="str">
        <x:v>Çeşitli / karşılaştırmalı</x:v>
      </x:c>
      <x:c r="O41" s="46" t="str">
        <x:v>Değişken</x:v>
      </x:c>
      <x:c r="P41" s="46" t="str">
        <x:v>Değişken</x:v>
      </x:c>
      <x:c r="Q41" s="70" t="str">
        <x:v>GENERIC_RANGE</x:v>
      </x:c>
      <x:c r="R41" s="46" t="str">
        <x:v>DÜŞÜK</x:v>
      </x:c>
      <x:c r="S41" s="46" t="str"/>
      <x:c r="T41" s="50" t="str">
        <x:v>Kalınlık ve alt tabakaya bağlı; tasarım beyanı olarak kullanılmamalıdır.</x:v>
      </x:c>
    </x:row>
    <x:row r="42">
      <x:c r="A42" s="46" t="str">
        <x:v>DL-GEN-CORK</x:v>
      </x:c>
      <x:c r="B42" s="46" t="str">
        <x:v>Genel aralık</x:v>
      </x:c>
      <x:c r="C42" s="46" t="str">
        <x:v>GENERIC</x:v>
      </x:c>
      <x:c r="D42" s="46" t="str">
        <x:v>Mantar kaplama/altlık</x:v>
      </x:c>
      <x:c r="E42" s="46" t="str">
        <x:v>Tipik sistem aralığı</x:v>
      </x:c>
      <x:c r="F42" s="54"/>
      <x:c r="G42" s="58"/>
      <x:c r="H42" s="54"/>
      <x:c r="I42" s="54"/>
      <x:c r="J42" s="46" t="str">
        <x:v>ΔLw</x:v>
      </x:c>
      <x:c r="K42" s="66" t="n">
        <x:v>10</x:v>
      </x:c>
      <x:c r="L42" s="66" t="n">
        <x:v>16</x:v>
      </x:c>
      <x:c r="M42" s="66" t="n">
        <x:v>22</x:v>
      </x:c>
      <x:c r="N42" s="46" t="str">
        <x:v>Çeşitli / karşılaştırmalı</x:v>
      </x:c>
      <x:c r="O42" s="46" t="str">
        <x:v>Değişken</x:v>
      </x:c>
      <x:c r="P42" s="46" t="str">
        <x:v>Değişken</x:v>
      </x:c>
      <x:c r="Q42" s="70" t="str">
        <x:v>GENERIC_RANGE</x:v>
      </x:c>
      <x:c r="R42" s="46" t="str">
        <x:v>DÜŞÜK</x:v>
      </x:c>
      <x:c r="S42" s="46" t="str"/>
      <x:c r="T42" s="50" t="str">
        <x:v>Yoğunluk ve kalınlığa bağlı; tasarım beyanı olarak kullanılmamalıdır.</x:v>
      </x:c>
    </x:row>
    <x:row r="43">
      <x:c r="A43" s="46" t="str">
        <x:v>DL-GEN-LAMINATE-UNDERLAY</x:v>
      </x:c>
      <x:c r="B43" s="46" t="str">
        <x:v>Genel aralık</x:v>
      </x:c>
      <x:c r="C43" s="46" t="str">
        <x:v>GENERIC</x:v>
      </x:c>
      <x:c r="D43" s="46" t="str">
        <x:v>Laminat + ince altlık</x:v>
      </x:c>
      <x:c r="E43" s="46" t="str">
        <x:v>Tipik sistem aralığı</x:v>
      </x:c>
      <x:c r="F43" s="54"/>
      <x:c r="G43" s="58"/>
      <x:c r="H43" s="54"/>
      <x:c r="I43" s="54"/>
      <x:c r="J43" s="46" t="str">
        <x:v>ΔLw</x:v>
      </x:c>
      <x:c r="K43" s="66" t="n">
        <x:v>12</x:v>
      </x:c>
      <x:c r="L43" s="66" t="n">
        <x:v>17</x:v>
      </x:c>
      <x:c r="M43" s="66" t="n">
        <x:v>22</x:v>
      </x:c>
      <x:c r="N43" s="46" t="str">
        <x:v>Çeşitli / karşılaştırmalı</x:v>
      </x:c>
      <x:c r="O43" s="46" t="str">
        <x:v>Değişken</x:v>
      </x:c>
      <x:c r="P43" s="46" t="str">
        <x:v>Değişken</x:v>
      </x:c>
      <x:c r="Q43" s="70" t="str">
        <x:v>GENERIC_RANGE</x:v>
      </x:c>
      <x:c r="R43" s="46" t="str">
        <x:v>DÜŞÜK</x:v>
      </x:c>
      <x:c r="S43" s="46" t="str"/>
      <x:c r="T43" s="50" t="str">
        <x:v>Referans döşeme ve tıklama sistemine bağlı; tasarım beyanı olarak kullanılmamalıdır.</x:v>
      </x:c>
    </x:row>
    <x:row r="44">
      <x:c r="A44" s="46" t="str">
        <x:v>DL-GEN-WOOD-UNDERLAY</x:v>
      </x:c>
      <x:c r="B44" s="46" t="str">
        <x:v>Genel aralık</x:v>
      </x:c>
      <x:c r="C44" s="46" t="str">
        <x:v>GENERIC</x:v>
      </x:c>
      <x:c r="D44" s="46" t="str">
        <x:v>Yüzer ahşap + altlık</x:v>
      </x:c>
      <x:c r="E44" s="46" t="str">
        <x:v>Tipik sistem aralığı</x:v>
      </x:c>
      <x:c r="F44" s="54"/>
      <x:c r="G44" s="58"/>
      <x:c r="H44" s="54"/>
      <x:c r="I44" s="54"/>
      <x:c r="J44" s="46" t="str">
        <x:v>ΔLw</x:v>
      </x:c>
      <x:c r="K44" s="66" t="n">
        <x:v>10</x:v>
      </x:c>
      <x:c r="L44" s="66" t="n">
        <x:v>16</x:v>
      </x:c>
      <x:c r="M44" s="66" t="n">
        <x:v>22</x:v>
      </x:c>
      <x:c r="N44" s="46" t="str">
        <x:v>Çeşitli / karşılaştırmalı</x:v>
      </x:c>
      <x:c r="O44" s="46" t="str">
        <x:v>Değişken</x:v>
      </x:c>
      <x:c r="P44" s="46" t="str">
        <x:v>Değişken</x:v>
      </x:c>
      <x:c r="Q44" s="70" t="str">
        <x:v>GENERIC_RANGE</x:v>
      </x:c>
      <x:c r="R44" s="46" t="str">
        <x:v>DÜŞÜK</x:v>
      </x:c>
      <x:c r="S44" s="46" t="str"/>
      <x:c r="T44" s="50" t="str">
        <x:v>Kenar köprüleri etkili; tasarım beyanı olarak kullanılmamalıdır.</x:v>
      </x:c>
    </x:row>
    <x:row r="45">
      <x:c r="A45" s="46" t="str">
        <x:v>DL-GEN-TILE-DIRECT</x:v>
      </x:c>
      <x:c r="B45" s="46" t="str">
        <x:v>Genel aralık</x:v>
      </x:c>
      <x:c r="C45" s="46" t="str">
        <x:v>GENERIC</x:v>
      </x:c>
      <x:c r="D45" s="46" t="str">
        <x:v>Doğrudan bağlı seramik</x:v>
      </x:c>
      <x:c r="E45" s="46" t="str">
        <x:v>Tipik sistem aralığı</x:v>
      </x:c>
      <x:c r="F45" s="54"/>
      <x:c r="G45" s="58"/>
      <x:c r="H45" s="54"/>
      <x:c r="I45" s="54"/>
      <x:c r="J45" s="46" t="str">
        <x:v>ΔLw</x:v>
      </x:c>
      <x:c r="K45" s="66" t="n">
        <x:v>0</x:v>
      </x:c>
      <x:c r="L45" s="66" t="n">
        <x:v>1</x:v>
      </x:c>
      <x:c r="M45" s="66" t="n">
        <x:v>3</x:v>
      </x:c>
      <x:c r="N45" s="46" t="str">
        <x:v>Çeşitli / karşılaştırmalı</x:v>
      </x:c>
      <x:c r="O45" s="46" t="str">
        <x:v>Değişken</x:v>
      </x:c>
      <x:c r="P45" s="46" t="str">
        <x:v>Değişken</x:v>
      </x:c>
      <x:c r="Q45" s="70" t="str">
        <x:v>GENERIC_RANGE</x:v>
      </x:c>
      <x:c r="R45" s="46" t="str">
        <x:v>DÜŞÜK</x:v>
      </x:c>
      <x:c r="S45" s="46" t="str"/>
      <x:c r="T45" s="50" t="str">
        <x:v>Esnek katman yoksa iyileştirme sınırlı; tasarım beyanı olarak kullanılmamalıdır.</x:v>
      </x:c>
    </x:row>
    <x:row r="46">
      <x:c r="A46" s="46" t="str">
        <x:v>DL-GEN-PE-FOAM</x:v>
      </x:c>
      <x:c r="B46" s="46" t="str">
        <x:v>Genel aralık</x:v>
      </x:c>
      <x:c r="C46" s="46" t="str">
        <x:v>GENERIC</x:v>
      </x:c>
      <x:c r="D46" s="46" t="str">
        <x:v>İnce PE/EVA altlık</x:v>
      </x:c>
      <x:c r="E46" s="46" t="str">
        <x:v>Tipik sistem aralığı</x:v>
      </x:c>
      <x:c r="F46" s="54"/>
      <x:c r="G46" s="58"/>
      <x:c r="H46" s="54"/>
      <x:c r="I46" s="54"/>
      <x:c r="J46" s="46" t="str">
        <x:v>ΔLw</x:v>
      </x:c>
      <x:c r="K46" s="66" t="n">
        <x:v>8</x:v>
      </x:c>
      <x:c r="L46" s="66" t="n">
        <x:v>14</x:v>
      </x:c>
      <x:c r="M46" s="66" t="n">
        <x:v>20</x:v>
      </x:c>
      <x:c r="N46" s="46" t="str">
        <x:v>Çeşitli / karşılaştırmalı</x:v>
      </x:c>
      <x:c r="O46" s="46" t="str">
        <x:v>Değişken</x:v>
      </x:c>
      <x:c r="P46" s="46" t="str">
        <x:v>Değişken</x:v>
      </x:c>
      <x:c r="Q46" s="70" t="str">
        <x:v>GENERIC_RANGE</x:v>
      </x:c>
      <x:c r="R46" s="46" t="str">
        <x:v>DÜŞÜK</x:v>
      </x:c>
      <x:c r="S46" s="46" t="str"/>
      <x:c r="T46" s="50" t="str">
        <x:v>Statik yükte ezilme ve s' değişimi önemli; tasarım beyanı olarak kullanılmamalıdır.</x:v>
      </x:c>
    </x:row>
    <x:row r="47">
      <x:c r="A47" s="46" t="str">
        <x:v>DL-GEN-RUBBER-MAT</x:v>
      </x:c>
      <x:c r="B47" s="46" t="str">
        <x:v>Genel aralık</x:v>
      </x:c>
      <x:c r="C47" s="46" t="str">
        <x:v>GENERIC</x:v>
      </x:c>
      <x:c r="D47" s="46" t="str">
        <x:v>Kauçuk granül şilte + şap</x:v>
      </x:c>
      <x:c r="E47" s="46" t="str">
        <x:v>Tipik sistem aralığı</x:v>
      </x:c>
      <x:c r="F47" s="54"/>
      <x:c r="G47" s="58"/>
      <x:c r="H47" s="54"/>
      <x:c r="I47" s="54"/>
      <x:c r="J47" s="46" t="str">
        <x:v>ΔLw</x:v>
      </x:c>
      <x:c r="K47" s="66" t="n">
        <x:v>18</x:v>
      </x:c>
      <x:c r="L47" s="66" t="n">
        <x:v>25</x:v>
      </x:c>
      <x:c r="M47" s="66" t="n">
        <x:v>32</x:v>
      </x:c>
      <x:c r="N47" s="46" t="str">
        <x:v>Çeşitli / karşılaştırmalı</x:v>
      </x:c>
      <x:c r="O47" s="46" t="str">
        <x:v>Değişken</x:v>
      </x:c>
      <x:c r="P47" s="46" t="str">
        <x:v>Değişken</x:v>
      </x:c>
      <x:c r="Q47" s="70" t="str">
        <x:v>GENERIC_RANGE</x:v>
      </x:c>
      <x:c r="R47" s="46" t="str">
        <x:v>DÜŞÜK</x:v>
      </x:c>
      <x:c r="S47" s="46" t="str"/>
      <x:c r="T47" s="50" t="str">
        <x:v>Şap kütlesi ve s' ile değişir; tasarım beyanı olarak kullanılmamalıdır.</x:v>
      </x:c>
    </x:row>
    <x:row r="48">
      <x:c r="A48" s="47" t="str">
        <x:v>DL-GEN-MW-FLOAT</x:v>
      </x:c>
      <x:c r="B48" s="47" t="str">
        <x:v>Genel aralık</x:v>
      </x:c>
      <x:c r="C48" s="47" t="str">
        <x:v>GENERIC</x:v>
      </x:c>
      <x:c r="D48" s="47" t="str">
        <x:v>Mineral yün + yüzer şap</x:v>
      </x:c>
      <x:c r="E48" s="47" t="str">
        <x:v>Tipik sistem aralığı</x:v>
      </x:c>
      <x:c r="F48" s="55"/>
      <x:c r="G48" s="59"/>
      <x:c r="H48" s="55"/>
      <x:c r="I48" s="55"/>
      <x:c r="J48" s="47" t="str">
        <x:v>ΔLw</x:v>
      </x:c>
      <x:c r="K48" s="67" t="n">
        <x:v>20</x:v>
      </x:c>
      <x:c r="L48" s="67" t="n">
        <x:v>29</x:v>
      </x:c>
      <x:c r="M48" s="67" t="n">
        <x:v>36</x:v>
      </x:c>
      <x:c r="N48" s="47" t="str">
        <x:v>Çeşitli / karşılaştırmalı</x:v>
      </x:c>
      <x:c r="O48" s="47" t="str">
        <x:v>Değişken</x:v>
      </x:c>
      <x:c r="P48" s="47" t="str">
        <x:v>Değişken</x:v>
      </x:c>
      <x:c r="Q48" s="71" t="str">
        <x:v>GENERIC_RANGE</x:v>
      </x:c>
      <x:c r="R48" s="47" t="str">
        <x:v>DÜŞÜK</x:v>
      </x:c>
      <x:c r="S48" s="47" t="str"/>
      <x:c r="T48" s="51" t="str">
        <x:v>Kenar bantları ve yük altında s' kritik; tasarım beyanı olarak kullanılmamalıdır.</x:v>
      </x:c>
    </x:row>
  </x:sheetData>
  <x:mergeCells>
    <x:mergeCell ref="A1:T1"/>
    <x:mergeCell ref="A2:T2"/>
  </x:mergeCells>
  <x:conditionalFormatting sqref="K5:M48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8c3e80dfd6142c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8" hidden="0" customWidth="1"/>
    <x:col min="4" max="4" width="22" hidden="0" customWidth="1"/>
    <x:col min="5" max="5" width="20" hidden="0" customWidth="1"/>
    <x:col min="6" max="6" width="28" hidden="0" customWidth="1"/>
    <x:col min="7" max="7" width="34" hidden="0" customWidth="1"/>
    <x:col min="8" max="8" width="54" hidden="0" customWidth="1"/>
  </x:cols>
  <x:sheetData>
    <x:row r="1" ht="30" customHeight="1">
      <x:c r="A1" s="5" t="str">
        <x:v>AKUSTİK HESAP PARAMETRE SÖZLÜĞÜ</x:v>
      </x:c>
    </x:row>
    <x:row r="2" ht="34" customHeight="1">
      <x:c r="A2" s="13" t="str">
        <x:v>Semboller, SI birimleri ve kullanım sınırları. Yazılım veri modelinde değerle birlikte ölçüm standardı, frekans, sıcaklık/nem ve güven sınıfı saklanmalıdır.</x:v>
      </x:c>
    </x:row>
    <x:row r="4" ht="42" customHeight="1">
      <x:c r="A4" s="23" t="str">
        <x:v>Sembol</x:v>
      </x:c>
      <x:c r="B4" s="23" t="str">
        <x:v>Türkçe Ad</x:v>
      </x:c>
      <x:c r="C4" s="23" t="str">
        <x:v>SI Birimi</x:v>
      </x:c>
      <x:c r="D4" s="23" t="str">
        <x:v>Alan</x:v>
      </x:c>
      <x:c r="E4" s="23" t="str">
        <x:v>Frekansa Bağımlı mı?</x:v>
      </x:c>
      <x:c r="F4" s="23" t="str">
        <x:v>Tipik Kaynak / Ölçüm</x:v>
      </x:c>
      <x:c r="G4" s="23" t="str">
        <x:v>Hesaptaki Rol</x:v>
      </x:c>
      <x:c r="H4" s="23" t="str">
        <x:v>Kritik Uyarı</x:v>
      </x:c>
    </x:row>
    <x:row r="5">
      <x:c r="A5" s="46" t="str">
        <x:v>d</x:v>
      </x:c>
      <x:c r="B5" s="46" t="str">
        <x:v>Kalınlık</x:v>
      </x:c>
      <x:c r="C5" s="46" t="str">
        <x:v>m veya mm</x:v>
      </x:c>
      <x:c r="D5" s="46" t="str">
        <x:v>Tüm katmanlar</x:v>
      </x:c>
      <x:c r="E5" s="46" t="str">
        <x:v>Hayır</x:v>
      </x:c>
      <x:c r="F5" s="46" t="str">
        <x:v>Ürün föyü / ölçüm</x:v>
      </x:c>
      <x:c r="G5" s="46" t="str">
        <x:v>m'=ρd; plaka rijitliği D∝d³</x:v>
      </x:c>
      <x:c r="H5" s="50" t="str">
        <x:v>Birim dönüşümünü açık yapın.</x:v>
      </x:c>
    </x:row>
    <x:row r="6">
      <x:c r="A6" s="46" t="str">
        <x:v>ρ</x:v>
      </x:c>
      <x:c r="B6" s="46" t="str">
        <x:v>Yoğunluk</x:v>
      </x:c>
      <x:c r="C6" s="46" t="str">
        <x:v>kg/m³</x:v>
      </x:c>
      <x:c r="D6" s="46" t="str">
        <x:v>Katı/gözenekli</x:v>
      </x:c>
      <x:c r="E6" s="46" t="str">
        <x:v>Nemle değişebilir</x:v>
      </x:c>
      <x:c r="F6" s="46" t="str">
        <x:v>Ürün föyü / tartım</x:v>
      </x:c>
      <x:c r="G6" s="46" t="str">
        <x:v>Yüzey kütlesi ve dalga hızı</x:v>
      </x:c>
      <x:c r="H6" s="50" t="str">
        <x:v>Nominal kuru ve çalışma yoğunluğu farklı olabilir.</x:v>
      </x:c>
    </x:row>
    <x:row r="7">
      <x:c r="A7" s="46" t="str">
        <x:v>m'</x:v>
      </x:c>
      <x:c r="B7" s="46" t="str">
        <x:v>Yüzey kütlesi</x:v>
      </x:c>
      <x:c r="C7" s="46" t="str">
        <x:v>kg/m²</x:v>
      </x:c>
      <x:c r="D7" s="46" t="str">
        <x:v>Levha/duvar/şap</x:v>
      </x:c>
      <x:c r="E7" s="46" t="str">
        <x:v>Hayır</x:v>
      </x:c>
      <x:c r="F7" s="46" t="str">
        <x:v>Tartım veya ρd</x:v>
      </x:c>
      <x:c r="G7" s="46" t="str">
        <x:v>Kütle yasası, çift kabuk ve yüzer şap</x:v>
      </x:c>
      <x:c r="H7" s="50" t="str">
        <x:v>Rw değildir; bağlantı ve rezonanslar sonucu değiştirir.</x:v>
      </x:c>
    </x:row>
    <x:row r="8">
      <x:c r="A8" s="46" t="str">
        <x:v>E', E*</x:v>
      </x:c>
      <x:c r="B8" s="46" t="str">
        <x:v>Dinamik/kompleks Young modülü</x:v>
      </x:c>
      <x:c r="C8" s="46" t="str">
        <x:v>Pa, MPa, GPa</x:v>
      </x:c>
      <x:c r="D8" s="46" t="str">
        <x:v>Katı/viskoelastik</x:v>
      </x:c>
      <x:c r="E8" s="46" t="str">
        <x:v>Evet</x:v>
      </x:c>
      <x:c r="F8" s="46" t="str">
        <x:v>DMA, rezonans, ultrason</x:v>
      </x:c>
      <x:c r="G8" s="46" t="str">
        <x:v>Dalga hızı, eğilme rijitliği, CLD</x:v>
      </x:c>
      <x:c r="H8" s="50" t="str">
        <x:v>Statik E ile dinamik E karıştırılmamalıdır.</x:v>
      </x:c>
    </x:row>
    <x:row r="9">
      <x:c r="A9" s="46" t="str">
        <x:v>G'</x:v>
      </x:c>
      <x:c r="B9" s="46" t="str">
        <x:v>Dinamik kayma modülü</x:v>
      </x:c>
      <x:c r="C9" s="46" t="str">
        <x:v>Pa, MPa, GPa</x:v>
      </x:c>
      <x:c r="D9" s="46" t="str">
        <x:v>Elastomer/katı</x:v>
      </x:c>
      <x:c r="E9" s="46" t="str">
        <x:v>Evet</x:v>
      </x:c>
      <x:c r="F9" s="46" t="str">
        <x:v>DMA / torsiyon</x:v>
      </x:c>
      <x:c r="G9" s="46" t="str">
        <x:v>Kesme deformasyonu, CLD</x:v>
      </x:c>
      <x:c r="H9" s="50" t="str">
        <x:v>İzotropik kabulde G=E/[2(1+ν)].</x:v>
      </x:c>
    </x:row>
    <x:row r="10">
      <x:c r="A10" s="46" t="str">
        <x:v>ν</x:v>
      </x:c>
      <x:c r="B10" s="46" t="str">
        <x:v>Poisson oranı</x:v>
      </x:c>
      <x:c r="C10" s="46" t="str">
        <x:v>-</x:v>
      </x:c>
      <x:c r="D10" s="46" t="str">
        <x:v>Katı/elastomer</x:v>
      </x:c>
      <x:c r="E10" s="46" t="str">
        <x:v>Bazen</x:v>
      </x:c>
      <x:c r="F10" s="46" t="str">
        <x:v>Mekanik test / literatür</x:v>
      </x:c>
      <x:c r="G10" s="46" t="str">
        <x:v>G, cL, D hesabı</x:v>
      </x:c>
      <x:c r="H10" s="50" t="str">
        <x:v>Elastomerlerde sıkıştırılamazlığa yakın ν≈0.49.</x:v>
      </x:c>
    </x:row>
    <x:row r="11">
      <x:c r="A11" s="46" t="str">
        <x:v>η</x:v>
      </x:c>
      <x:c r="B11" s="46" t="str">
        <x:v>Kayıp faktörü</x:v>
      </x:c>
      <x:c r="C11" s="46" t="str">
        <x:v>-</x:v>
      </x:c>
      <x:c r="D11" s="46" t="str">
        <x:v>Katı/damping</x:v>
      </x:c>
      <x:c r="E11" s="46" t="str">
        <x:v>Evet</x:v>
      </x:c>
      <x:c r="F11" s="46" t="str">
        <x:v>DMA, modal decay</x:v>
      </x:c>
      <x:c r="G11" s="46" t="str">
        <x:v>Rezonans/genlik ve coincidence kontrolü</x:v>
      </x:c>
      <x:c r="H11" s="50" t="str">
        <x:v>Sıcaklık, frekans, genlik ve bağlanmaya bağlıdır.</x:v>
      </x:c>
    </x:row>
    <x:row r="12">
      <x:c r="A12" s="46" t="str">
        <x:v>D veya B</x:v>
      </x:c>
      <x:c r="B12" s="46" t="str">
        <x:v>Plaka eğilme rijitliği</x:v>
      </x:c>
      <x:c r="C12" s="46" t="str">
        <x:v>N·m</x:v>
      </x:c>
      <x:c r="D12" s="46" t="str">
        <x:v>İnce levha</x:v>
      </x:c>
      <x:c r="E12" s="46" t="str">
        <x:v>Evet/etkin</x:v>
      </x:c>
      <x:c r="F12" s="46" t="str">
        <x:v>E,ν,d'den veya ölçüm</x:v>
      </x:c>
      <x:c r="G12" s="46" t="str">
        <x:v>Kritik frekans ve eğilme dalgaları</x:v>
      </x:c>
      <x:c r="H12" s="50" t="str">
        <x:v>Ortotropik levhada tek skaler D yetersizdir.</x:v>
      </x:c>
    </x:row>
    <x:row r="13">
      <x:c r="A13" s="46" t="str">
        <x:v>cL</x:v>
      </x:c>
      <x:c r="B13" s="46" t="str">
        <x:v>Boyuna dalga hızı</x:v>
      </x:c>
      <x:c r="C13" s="46" t="str">
        <x:v>m/s</x:v>
      </x:c>
      <x:c r="D13" s="46" t="str">
        <x:v>Katı</x:v>
      </x:c>
      <x:c r="E13" s="46" t="str">
        <x:v>Evet/az</x:v>
      </x:c>
      <x:c r="F13" s="46" t="str">
        <x:v>Ultrason veya E,ρ,ν</x:v>
      </x:c>
      <x:c r="G13" s="46" t="str">
        <x:v>Katı içi dalga yayılımı</x:v>
      </x:c>
      <x:c r="H13" s="50" t="str">
        <x:v>Gözenekli/heterojen malzemede dispersiyon olabilir.</x:v>
      </x:c>
    </x:row>
    <x:row r="14">
      <x:c r="A14" s="46" t="str">
        <x:v>ZL=ρcL</x:v>
      </x:c>
      <x:c r="B14" s="46" t="str">
        <x:v>Boyuna karakteristik empedans</x:v>
      </x:c>
      <x:c r="C14" s="46" t="str">
        <x:v>Rayl veya MRayl</x:v>
      </x:c>
      <x:c r="D14" s="46" t="str">
        <x:v>Katı</x:v>
      </x:c>
      <x:c r="E14" s="46" t="str">
        <x:v>Evet</x:v>
      </x:c>
      <x:c r="F14" s="46" t="str">
        <x:v>ρ ve cL</x:v>
      </x:c>
      <x:c r="G14" s="46" t="str">
        <x:v>Ara yüz yansıma için yaklaşık parametre</x:v>
      </x:c>
      <x:c r="H14" s="50" t="str">
        <x:v>Sonlu katmanın normal yüzey empedansı ile aynı değildir.</x:v>
      </x:c>
    </x:row>
    <x:row r="15">
      <x:c r="A15" s="46" t="str">
        <x:v>σ</x:v>
      </x:c>
      <x:c r="B15" s="46" t="str">
        <x:v>Statik hava akış özdirenci</x:v>
      </x:c>
      <x:c r="C15" s="46" t="str">
        <x:v>Pa·s/m²</x:v>
      </x:c>
      <x:c r="D15" s="46" t="str">
        <x:v>Gözenekli emici</x:v>
      </x:c>
      <x:c r="E15" s="46" t="str">
        <x:v>Evet olmayan temel girdi</x:v>
      </x:c>
      <x:c r="F15" s="46" t="str">
        <x:v>ISO 9053-1</x:v>
      </x:c>
      <x:c r="G15" s="46" t="str">
        <x:v>Delany–Bazley/Miki/JCA giriş parametresi</x:v>
      </x:c>
      <x:c r="H15" s="50" t="str">
        <x:v>Yoğunluktan güvenilir biçimde türetilemez.</x:v>
      </x:c>
    </x:row>
    <x:row r="16">
      <x:c r="A16" s="46" t="str">
        <x:v>rs=σd</x:v>
      </x:c>
      <x:c r="B16" s="46" t="str">
        <x:v>Tabaka akış direnci</x:v>
      </x:c>
      <x:c r="C16" s="46" t="str">
        <x:v>Pa·s/m</x:v>
      </x:c>
      <x:c r="D16" s="46" t="str">
        <x:v>Gözenekli emici</x:v>
      </x:c>
      <x:c r="E16" s="46" t="str">
        <x:v>Hayır</x:v>
      </x:c>
      <x:c r="F16" s="46" t="str">
        <x:v>σ ve d</x:v>
      </x:c>
      <x:c r="G16" s="46" t="str">
        <x:v>İnce tabaka tanımlaması</x:v>
      </x:c>
      <x:c r="H16" s="50" t="str">
        <x:v>Kalınlık ve sıkıştırma koşulunu belirtin.</x:v>
      </x:c>
    </x:row>
    <x:row r="17">
      <x:c r="A17" s="46" t="str">
        <x:v>φ</x:v>
      </x:c>
      <x:c r="B17" s="46" t="str">
        <x:v>Açık porozite</x:v>
      </x:c>
      <x:c r="C17" s="46" t="str">
        <x:v>-</x:v>
      </x:c>
      <x:c r="D17" s="46" t="str">
        <x:v>Gözenekli emici</x:v>
      </x:c>
      <x:c r="E17" s="46" t="str">
        <x:v>Hayır</x:v>
      </x:c>
      <x:c r="F17" s="46" t="str">
        <x:v>Basınç/hacim yöntemi</x:v>
      </x:c>
      <x:c r="G17" s="46" t="str">
        <x:v>JCA/JCAL</x:v>
      </x:c>
      <x:c r="H17" s="50" t="str">
        <x:v>Toplam porozite değil, akışa açık porozite gerekir.</x:v>
      </x:c>
    </x:row>
    <x:row r="18">
      <x:c r="A18" s="46" t="str">
        <x:v>α∞</x:v>
      </x:c>
      <x:c r="B18" s="46" t="str">
        <x:v>Yüksek frekans tortuozitesi</x:v>
      </x:c>
      <x:c r="C18" s="46" t="str">
        <x:v>-</x:v>
      </x:c>
      <x:c r="D18" s="46" t="str">
        <x:v>Gözenekli emici</x:v>
      </x:c>
      <x:c r="E18" s="46" t="str">
        <x:v>Model parametresi</x:v>
      </x:c>
      <x:c r="F18" s="46" t="str">
        <x:v>Ultrason/invers fit</x:v>
      </x:c>
      <x:c r="G18" s="46" t="str">
        <x:v>JCA/JCAL</x:v>
      </x:c>
      <x:c r="H18" s="50" t="str">
        <x:v>İnvers fit parametreleri tekil olmayabilir.</x:v>
      </x:c>
    </x:row>
    <x:row r="19">
      <x:c r="A19" s="46" t="str">
        <x:v>Λ, Λ'</x:v>
      </x:c>
      <x:c r="B19" s="46" t="str">
        <x:v>Viskoz/termal karakteristik uzunluk</x:v>
      </x:c>
      <x:c r="C19" s="46" t="str">
        <x:v>m veya µm</x:v>
      </x:c>
      <x:c r="D19" s="46" t="str">
        <x:v>Gözenekli emici</x:v>
      </x:c>
      <x:c r="E19" s="46" t="str">
        <x:v>Model parametresi</x:v>
      </x:c>
      <x:c r="F19" s="46" t="str">
        <x:v>Mikrogeometri/invers fit</x:v>
      </x:c>
      <x:c r="G19" s="46" t="str">
        <x:v>JCA/JCAL</x:v>
      </x:c>
      <x:c r="H19" s="50" t="str">
        <x:v>µm↔m dönüşümünü kontrol edin.</x:v>
      </x:c>
    </x:row>
    <x:row r="20">
      <x:c r="A20" s="46" t="str">
        <x:v>k0'</x:v>
      </x:c>
      <x:c r="B20" s="46" t="str">
        <x:v>Statik termal geçirgenlik</x:v>
      </x:c>
      <x:c r="C20" s="46" t="str">
        <x:v>m²</x:v>
      </x:c>
      <x:c r="D20" s="46" t="str">
        <x:v>Gözenekli emici</x:v>
      </x:c>
      <x:c r="E20" s="46" t="str">
        <x:v>Hayır</x:v>
      </x:c>
      <x:c r="F20" s="46" t="str">
        <x:v>Termal model/invers fit</x:v>
      </x:c>
      <x:c r="G20" s="46" t="str">
        <x:v>JCAL/JCAPL</x:v>
      </x:c>
      <x:c r="H20" s="50" t="str">
        <x:v>Sade JCA modelinde bulunmayabilir.</x:v>
      </x:c>
    </x:row>
    <x:row r="21">
      <x:c r="A21" s="46" t="str">
        <x:v>s'</x:v>
      </x:c>
      <x:c r="B21" s="46" t="str">
        <x:v>Dinamik rijitlik / birim alan</x:v>
      </x:c>
      <x:c r="C21" s="46" t="str">
        <x:v>MN/m³</x:v>
      </x:c>
      <x:c r="D21" s="46" t="str">
        <x:v>Yüzer döşeme altlığı</x:v>
      </x:c>
      <x:c r="E21" s="46" t="str">
        <x:v>Evet/ölçüm bandı</x:v>
      </x:c>
      <x:c r="F21" s="46" t="str">
        <x:v>ISO 9052-1 / EN 29052-1</x:v>
      </x:c>
      <x:c r="G21" s="46" t="str">
        <x:v>Yüzer şap rezonansı f0</x:v>
      </x:c>
      <x:c r="H21" s="50" t="str">
        <x:v>Yük, sıkışma ve hava rijitliği düzeltmesi önemlidir.</x:v>
      </x:c>
    </x:row>
    <x:row r="22">
      <x:c r="A22" s="46" t="str">
        <x:v>c</x:v>
      </x:c>
      <x:c r="B22" s="46" t="str">
        <x:v>Sıkışabilirlik</x:v>
      </x:c>
      <x:c r="C22" s="46" t="str">
        <x:v>mm</x:v>
      </x:c>
      <x:c r="D22" s="46" t="str">
        <x:v>Yüzer döşeme altlığı</x:v>
      </x:c>
      <x:c r="E22" s="46" t="str">
        <x:v>Yükle değişir</x:v>
      </x:c>
      <x:c r="F22" s="46" t="str">
        <x:v>Ürün testi</x:v>
      </x:c>
      <x:c r="G22" s="46" t="str">
        <x:v>Uzun dönem performans/köprü riski</x:v>
      </x:c>
      <x:c r="H22" s="50" t="str">
        <x:v>Aşırı sıkışma s' ve seviye farklarını değiştirir.</x:v>
      </x:c>
    </x:row>
    <x:row r="23">
      <x:c r="A23" s="46" t="str">
        <x:v>R(f)</x:v>
      </x:c>
      <x:c r="B23" s="46" t="str">
        <x:v>Ses azaltım indeksi</x:v>
      </x:c>
      <x:c r="C23" s="46" t="str">
        <x:v>dB</x:v>
      </x:c>
      <x:c r="D23" s="46" t="str">
        <x:v>Yapı elemanı</x:v>
      </x:c>
      <x:c r="E23" s="46" t="str">
        <x:v>Evet</x:v>
      </x:c>
      <x:c r="F23" s="46" t="str">
        <x:v>ISO 10140-2</x:v>
      </x:c>
      <x:c r="G23" s="46" t="str">
        <x:v>Frekans bazlı hava doğuşumlu performans</x:v>
      </x:c>
      <x:c r="H23" s="50" t="str">
        <x:v>Malzeme değil, tam numune/system sonucudur.</x:v>
      </x:c>
    </x:row>
    <x:row r="24">
      <x:c r="A24" s="46" t="str">
        <x:v>Rw</x:v>
      </x:c>
      <x:c r="B24" s="46" t="str">
        <x:v>Ağırlıklı ses azaltım indeksi</x:v>
      </x:c>
      <x:c r="C24" s="46" t="str">
        <x:v>dB</x:v>
      </x:c>
      <x:c r="D24" s="46" t="str">
        <x:v>Yapı elemanı</x:v>
      </x:c>
      <x:c r="E24" s="46" t="str">
        <x:v>Tek sayı</x:v>
      </x:c>
      <x:c r="F24" s="46" t="str">
        <x:v>ISO 717-1</x:v>
      </x:c>
      <x:c r="G24" s="46" t="str">
        <x:v>Hava doğuşumlu tek sayı derecesi</x:v>
      </x:c>
      <x:c r="H24" s="50" t="str">
        <x:v>C ve Ctr ile birlikte raporlamak gerekir.</x:v>
      </x:c>
    </x:row>
    <x:row r="25">
      <x:c r="A25" s="46" t="str">
        <x:v>Ln,w</x:v>
      </x:c>
      <x:c r="B25" s="46" t="str">
        <x:v>Ağırlıklı normalize darbe ses basınç düzeyi</x:v>
      </x:c>
      <x:c r="C25" s="46" t="str">
        <x:v>dB</x:v>
      </x:c>
      <x:c r="D25" s="46" t="str">
        <x:v>Döşeme/lab</x:v>
      </x:c>
      <x:c r="E25" s="46" t="str">
        <x:v>Tek sayı</x:v>
      </x:c>
      <x:c r="F25" s="46" t="str">
        <x:v>ISO 10140-3 + ISO 717-2</x:v>
      </x:c>
      <x:c r="G25" s="46" t="str">
        <x:v>Darbe sesi performansı</x:v>
      </x:c>
      <x:c r="H25" s="50" t="str">
        <x:v>Daha düşük daha iyidir.</x:v>
      </x:c>
    </x:row>
    <x:row r="26">
      <x:c r="A26" s="46" t="str">
        <x:v>L'n,w</x:v>
      </x:c>
      <x:c r="B26" s="46" t="str">
        <x:v>Görünür/aşikar ağırlıklı normalize darbe ses düzeyi</x:v>
      </x:c>
      <x:c r="C26" s="46" t="str">
        <x:v>dB</x:v>
      </x:c>
      <x:c r="D26" s="46" t="str">
        <x:v>Bina/yerinde</x:v>
      </x:c>
      <x:c r="E26" s="46" t="str">
        <x:v>Tek sayı</x:v>
      </x:c>
      <x:c r="F26" s="46" t="str">
        <x:v>ISO 16283-2 + ISO 717-2</x:v>
      </x:c>
      <x:c r="G26" s="46" t="str">
        <x:v>Yerinde performans</x:v>
      </x:c>
      <x:c r="H26" s="50" t="str">
        <x:v>Flanking/junction etkilerini içerir.</x:v>
      </x:c>
    </x:row>
    <x:row r="27">
      <x:c r="A27" s="46" t="str">
        <x:v>ΔLw</x:v>
      </x:c>
      <x:c r="B27" s="46" t="str">
        <x:v>Ağırlıklı darbe sesi azaltımı</x:v>
      </x:c>
      <x:c r="C27" s="46" t="str">
        <x:v>dB</x:v>
      </x:c>
      <x:c r="D27" s="46" t="str">
        <x:v>Kaplama/yüzer sistem</x:v>
      </x:c>
      <x:c r="E27" s="46" t="str">
        <x:v>Tek sayı</x:v>
      </x:c>
      <x:c r="F27" s="46" t="str">
        <x:v>ISO 717-2</x:v>
      </x:c>
      <x:c r="G27" s="46" t="str">
        <x:v>Referans döşemeye göre iyileştirme</x:v>
      </x:c>
      <x:c r="H27" s="50" t="str">
        <x:v>Referans döşeme ve test sistemiyle birlikte kullanılmalıdır.</x:v>
      </x:c>
    </x:row>
    <x:row r="28">
      <x:c r="A28" s="46" t="str">
        <x:v>fc</x:v>
      </x:c>
      <x:c r="B28" s="46" t="str">
        <x:v>Kritik/coincidence frekansı</x:v>
      </x:c>
      <x:c r="C28" s="46" t="str">
        <x:v>Hz</x:v>
      </x:c>
      <x:c r="D28" s="46" t="str">
        <x:v>İnce levha</x:v>
      </x:c>
      <x:c r="E28" s="46" t="str">
        <x:v>Hayır/etkin</x:v>
      </x:c>
      <x:c r="F28" s="46" t="str">
        <x:v>D,m',c0</x:v>
      </x:c>
      <x:c r="G28" s="46" t="str">
        <x:v>Coincidence düşüşü</x:v>
      </x:c>
      <x:c r="H28" s="50" t="str">
        <x:v>Ortotropik ve katmanlı levhada birden fazla etkin fc olabilir.</x:v>
      </x:c>
    </x:row>
    <x:row r="29">
      <x:c r="A29" s="47" t="str">
        <x:v>f0</x:v>
      </x:c>
      <x:c r="B29" s="47" t="str">
        <x:v>Kütle-yay / yüzer döşeme rezonansı</x:v>
      </x:c>
      <x:c r="C29" s="47" t="str">
        <x:v>Hz</x:v>
      </x:c>
      <x:c r="D29" s="47" t="str">
        <x:v>Çift kabuk/yüzer döşeme</x:v>
      </x:c>
      <x:c r="E29" s="47" t="str">
        <x:v>Hayır/etkin</x:v>
      </x:c>
      <x:c r="F29" s="47" t="str">
        <x:v>m' ve s'</x:v>
      </x:c>
      <x:c r="G29" s="47" t="str">
        <x:v>Düşük frekans kontrolü</x:v>
      </x:c>
      <x:c r="H29" s="51" t="str">
        <x:v>Köprüler, hava boşluğu ve kenar bağlantıları sonucu değiştirir.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2338c15bc05490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3" hidden="0" customWidth="1"/>
  </x:cols>
  <x:sheetData>
    <x:row r="1" ht="30" customHeight="1">
      <x:c r="A1" s="3" t="str">
        <x:v>TEK KABUK DUVAR / LEVHA HIZLI HESAP</x:v>
      </x:c>
    </x:row>
    <x:row r="2" ht="28" customHeight="1">
      <x:c r="A2" s="95" t="str">
        <x:v>İdeal ince-plaka ve kütle-yasası kontrolü. Bu araç laboratuvar Rw veya bina DnT,w hesabının yerine geçmez.</x:v>
      </x:c>
    </x:row>
    <x:row r="4" ht="100" customHeight="1">
      <x:c r="A4" s="99" t="str">
        <x:v>Girdi</x:v>
      </x:c>
      <x:c r="B4" s="99" t="str">
        <x:v>Değer</x:v>
      </x:c>
      <x:c r="C4" s="102" t="str">
        <x:v>Birim</x:v>
      </x:c>
      <x:c r="E4" s="148" t="str">
        <x:v>KULLANIM SINIRI
R = 20·log10(m'·f) − 47, yalnız ideal sonsuz tek kabuk kütle yasasıdır. Coincidence, rijitlik, sönüm, ölçü, bağlantılar, açıklıklar, priz/kapı, çift kabuk rezonansı ve flanking etkilerini içermez.</x:v>
      </x:c>
    </x:row>
    <x:row r="5">
      <x:c r="A5" s="103" t="str">
        <x:v>Kalınlık d</x:v>
      </x:c>
      <x:c r="B5" s="113" t="n">
        <x:v>12.5</x:v>
      </x:c>
      <x:c r="C5" s="104" t="str">
        <x:v>mm</x:v>
      </x:c>
    </x:row>
    <x:row r="6">
      <x:c r="A6" s="103" t="str">
        <x:v>Yoğunluk ρ</x:v>
      </x:c>
      <x:c r="B6" s="113" t="n">
        <x:v>1400</x:v>
      </x:c>
      <x:c r="C6" s="104" t="str">
        <x:v>kg/m³</x:v>
      </x:c>
    </x:row>
    <x:row r="7">
      <x:c r="A7" s="103" t="str">
        <x:v>Dinamik E</x:v>
      </x:c>
      <x:c r="B7" s="113" t="n">
        <x:v>3.8</x:v>
      </x:c>
      <x:c r="C7" s="104" t="str">
        <x:v>GPa</x:v>
      </x:c>
    </x:row>
    <x:row r="8">
      <x:c r="A8" s="103" t="str">
        <x:v>Poisson ν</x:v>
      </x:c>
      <x:c r="B8" s="113" t="n">
        <x:v>0.25</x:v>
      </x:c>
      <x:c r="C8" s="104" t="str">
        <x:v>-</x:v>
      </x:c>
    </x:row>
    <x:row r="9">
      <x:c r="A9" s="103" t="str">
        <x:v>Kayıp faktörü η</x:v>
      </x:c>
      <x:c r="B9" s="113" t="n">
        <x:v>0.022</x:v>
      </x:c>
      <x:c r="C9" s="104" t="str">
        <x:v>-</x:v>
      </x:c>
    </x:row>
    <x:row r="10">
      <x:c r="A10" s="103"/>
      <x:c r="B10" s="103"/>
      <x:c r="C10" s="104"/>
    </x:row>
    <x:row r="11">
      <x:c r="A11" s="99" t="str">
        <x:v>Türetilen</x:v>
      </x:c>
      <x:c r="B11" s="99" t="str">
        <x:v>Değer</x:v>
      </x:c>
      <x:c r="C11" s="102" t="str">
        <x:v>Birim</x:v>
      </x:c>
    </x:row>
    <x:row r="12">
      <x:c r="A12" s="103" t="str">
        <x:v>Yüzey kütlesi m'</x:v>
      </x:c>
      <x:c r="B12" s="121" t="n">
        <x:f>B5/1000*B6</x:f>
        <x:v>17.5</x:v>
      </x:c>
      <x:c r="C12" s="104" t="str">
        <x:v>kg/m²</x:v>
      </x:c>
    </x:row>
    <x:row r="13">
      <x:c r="A13" s="103" t="str">
        <x:v>Kayma modülü G</x:v>
      </x:c>
      <x:c r="B13" s="121" t="n">
        <x:f>B7/(2*(1+B8))</x:f>
        <x:v>1.52</x:v>
      </x:c>
      <x:c r="C13" s="104" t="str">
        <x:v>GPa</x:v>
      </x:c>
    </x:row>
    <x:row r="14">
      <x:c r="A14" s="103" t="str">
        <x:v>Boyuna dalga hızı cL</x:v>
      </x:c>
      <x:c r="B14" s="121" t="n">
        <x:f>SQRT(B7*1000000000*(1-B8)/(B6*(1+B8)*(1-2*B8)))</x:f>
        <x:v>1804.755622554715</x:v>
      </x:c>
      <x:c r="C14" s="104" t="str">
        <x:v>m/s</x:v>
      </x:c>
    </x:row>
    <x:row r="15">
      <x:c r="A15" s="103" t="str">
        <x:v>Boyuna empedans ZL</x:v>
      </x:c>
      <x:c r="B15" s="121" t="n">
        <x:f>B6*B14/1000000</x:f>
        <x:v>2.5266578715766013</x:v>
      </x:c>
      <x:c r="C15" s="104" t="str">
        <x:v>MRayl</x:v>
      </x:c>
    </x:row>
    <x:row r="16">
      <x:c r="A16" s="103" t="str">
        <x:v>Eğilme rijitliği D</x:v>
      </x:c>
      <x:c r="B16" s="121" t="n">
        <x:f>B7*1000000000*(B5/1000)^3/(12*(1-B8^2))</x:f>
        <x:v>659.7222222222224</x:v>
      </x:c>
      <x:c r="C16" s="104" t="str">
        <x:v>N·m</x:v>
      </x:c>
    </x:row>
    <x:row r="17">
      <x:c r="A17" s="105" t="str">
        <x:v>Kritik frekans fc</x:v>
      </x:c>
      <x:c r="B17" s="122" t="n">
        <x:f>343.2^2/(2*PI())*SQRT(B12/B16)</x:f>
        <x:v>3053.185264850709</x:v>
      </x:c>
      <x:c r="C17" s="106" t="str">
        <x:v>Hz</x:v>
      </x:c>
    </x:row>
    <x:row r="20" ht="28" customHeight="1">
      <x:c r="A20" s="129" t="str">
        <x:v>Frekans [Hz]</x:v>
      </x:c>
      <x:c r="B20" s="129" t="str">
        <x:v>İdeal Kütle Yasası R [dB]</x:v>
      </x:c>
      <x:c r="C20" s="129" t="str">
        <x:v>Coincidence Kontrolü</x:v>
      </x:c>
    </x:row>
    <x:row r="21">
      <x:c r="A21" s="134" t="n">
        <x:v>50</x:v>
      </x:c>
      <x:c r="B21" s="134" t="n">
        <x:f>20*LOG10($B$12*A21)-47</x:f>
        <x:v>11.8401610604462</x:v>
      </x:c>
      <x:c r="C21" s="135" t="str">
        <x:f>IF(AND(A21&gt;0.8*$B$17,A21&lt;1.25*$B$17),"fc çevresi","")</x:f>
      </x:c>
    </x:row>
    <x:row r="22">
      <x:c r="A22" s="134" t="n">
        <x:v>63</x:v>
      </x:c>
      <x:c r="B22" s="134" t="n">
        <x:f>20*LOG10($B$12*A22)-47</x:f>
        <x:v>13.847571962797602</x:v>
      </x:c>
      <x:c r="C22" s="135" t="str">
        <x:f>IF(AND(A22&gt;0.8*$B$17,A22&lt;1.25*$B$17),"fc çevresi","")</x:f>
      </x:c>
    </x:row>
    <x:row r="23">
      <x:c r="A23" s="134" t="n">
        <x:v>80</x:v>
      </x:c>
      <x:c r="B23" s="134" t="n">
        <x:f>20*LOG10($B$12*A23)-47</x:f>
        <x:v>15.922560713564799</x:v>
      </x:c>
      <x:c r="C23" s="135" t="str">
        <x:f>IF(AND(A23&gt;0.8*$B$17,A23&lt;1.25*$B$17),"fc çevresi","")</x:f>
      </x:c>
    </x:row>
    <x:row r="24">
      <x:c r="A24" s="134" t="n">
        <x:v>100</x:v>
      </x:c>
      <x:c r="B24" s="134" t="n">
        <x:f>20*LOG10($B$12*A24)-47</x:f>
        <x:v>17.860760973725803</x:v>
      </x:c>
      <x:c r="C24" s="135" t="str">
        <x:f>IF(AND(A24&gt;0.8*$B$17,A24&lt;1.25*$B$17),"fc çevresi","")</x:f>
      </x:c>
    </x:row>
    <x:row r="25">
      <x:c r="A25" s="134" t="n">
        <x:v>125</x:v>
      </x:c>
      <x:c r="B25" s="134" t="n">
        <x:f>20*LOG10($B$12*A25)-47</x:f>
        <x:v>19.798961233887</x:v>
      </x:c>
      <x:c r="C25" s="135" t="str">
        <x:f>IF(AND(A25&gt;0.8*$B$17,A25&lt;1.25*$B$17),"fc çevresi","")</x:f>
      </x:c>
    </x:row>
    <x:row r="26">
      <x:c r="A26" s="134" t="n">
        <x:v>160</x:v>
      </x:c>
      <x:c r="B26" s="134" t="n">
        <x:f>20*LOG10($B$12*A26)-47</x:f>
        <x:v>21.943160626844403</x:v>
      </x:c>
      <x:c r="C26" s="135" t="str">
        <x:f>IF(AND(A26&gt;0.8*$B$17,A26&lt;1.25*$B$17),"fc çevresi","")</x:f>
      </x:c>
    </x:row>
    <x:row r="27">
      <x:c r="A27" s="134" t="n">
        <x:v>200</x:v>
      </x:c>
      <x:c r="B27" s="134" t="n">
        <x:f>20*LOG10($B$12*A27)-47</x:f>
        <x:v>23.8813608870056</x:v>
      </x:c>
      <x:c r="C27" s="135" t="str">
        <x:f>IF(AND(A27&gt;0.8*$B$17,A27&lt;1.25*$B$17),"fc çevresi","")</x:f>
      </x:c>
    </x:row>
    <x:row r="28">
      <x:c r="A28" s="134" t="n">
        <x:v>250</x:v>
      </x:c>
      <x:c r="B28" s="134" t="n">
        <x:f>20*LOG10($B$12*A28)-47</x:f>
        <x:v>25.81956114716661</x:v>
      </x:c>
      <x:c r="C28" s="135" t="str">
        <x:f>IF(AND(A28&gt;0.8*$B$17,A28&lt;1.25*$B$17),"fc çevresi","")</x:f>
      </x:c>
    </x:row>
    <x:row r="29">
      <x:c r="A29" s="134" t="n">
        <x:v>315</x:v>
      </x:c>
      <x:c r="B29" s="134" t="n">
        <x:f>20*LOG10($B$12*A29)-47</x:f>
        <x:v>27.826972049517792</x:v>
      </x:c>
      <x:c r="C29" s="135" t="str">
        <x:f>IF(AND(A29&gt;0.8*$B$17,A29&lt;1.25*$B$17),"fc çevresi","")</x:f>
      </x:c>
    </x:row>
    <x:row r="30">
      <x:c r="A30" s="134" t="n">
        <x:v>400</x:v>
      </x:c>
      <x:c r="B30" s="134" t="n">
        <x:f>20*LOG10($B$12*A30)-47</x:f>
        <x:v>29.901960800285195</x:v>
      </x:c>
      <x:c r="C30" s="135" t="str">
        <x:f>IF(AND(A30&gt;0.8*$B$17,A30&lt;1.25*$B$17),"fc çevresi","")</x:f>
      </x:c>
    </x:row>
    <x:row r="31">
      <x:c r="A31" s="134" t="n">
        <x:v>500</x:v>
      </x:c>
      <x:c r="B31" s="134" t="n">
        <x:f>20*LOG10($B$12*A31)-47</x:f>
        <x:v>31.840161060446206</x:v>
      </x:c>
      <x:c r="C31" s="135" t="str">
        <x:f>IF(AND(A31&gt;0.8*$B$17,A31&lt;1.25*$B$17),"fc çevresi","")</x:f>
      </x:c>
    </x:row>
    <x:row r="32">
      <x:c r="A32" s="134" t="n">
        <x:v>630</x:v>
      </x:c>
      <x:c r="B32" s="134" t="n">
        <x:f>20*LOG10($B$12*A32)-47</x:f>
        <x:v>33.8475719627976</x:v>
      </x:c>
      <x:c r="C32" s="135" t="str">
        <x:f>IF(AND(A32&gt;0.8*$B$17,A32&lt;1.25*$B$17),"fc çevresi","")</x:f>
      </x:c>
    </x:row>
    <x:row r="33">
      <x:c r="A33" s="134" t="n">
        <x:v>800</x:v>
      </x:c>
      <x:c r="B33" s="134" t="n">
        <x:f>20*LOG10($B$12*A33)-47</x:f>
        <x:v>35.92256071356479</x:v>
      </x:c>
      <x:c r="C33" s="135" t="str">
        <x:f>IF(AND(A33&gt;0.8*$B$17,A33&lt;1.25*$B$17),"fc çevresi","")</x:f>
      </x:c>
    </x:row>
    <x:row r="34">
      <x:c r="A34" s="134" t="n">
        <x:v>1000</x:v>
      </x:c>
      <x:c r="B34" s="134" t="n">
        <x:f>20*LOG10($B$12*A34)-47</x:f>
        <x:v>37.8607609737258</x:v>
      </x:c>
      <x:c r="C34" s="135" t="str">
        <x:f>IF(AND(A34&gt;0.8*$B$17,A34&lt;1.25*$B$17),"fc çevresi","")</x:f>
      </x:c>
    </x:row>
    <x:row r="35">
      <x:c r="A35" s="134" t="n">
        <x:v>1250</x:v>
      </x:c>
      <x:c r="B35" s="134" t="n">
        <x:f>20*LOG10($B$12*A35)-47</x:f>
        <x:v>39.798961233887</x:v>
      </x:c>
      <x:c r="C35" s="135" t="str">
        <x:f>IF(AND(A35&gt;0.8*$B$17,A35&lt;1.25*$B$17),"fc çevresi","")</x:f>
      </x:c>
    </x:row>
    <x:row r="36">
      <x:c r="A36" s="134" t="n">
        <x:v>1600</x:v>
      </x:c>
      <x:c r="B36" s="134" t="n">
        <x:f>20*LOG10($B$12*A36)-47</x:f>
        <x:v>41.9431606268444</x:v>
      </x:c>
      <x:c r="C36" s="135" t="str">
        <x:f>IF(AND(A36&gt;0.8*$B$17,A36&lt;1.25*$B$17),"fc çevresi","")</x:f>
      </x:c>
    </x:row>
    <x:row r="37">
      <x:c r="A37" s="134" t="n">
        <x:v>2000</x:v>
      </x:c>
      <x:c r="B37" s="134" t="n">
        <x:f>20*LOG10($B$12*A37)-47</x:f>
        <x:v>43.8813608870054</x:v>
      </x:c>
      <x:c r="C37" s="135" t="str">
        <x:f>IF(AND(A37&gt;0.8*$B$17,A37&lt;1.25*$B$17),"fc çevresi","")</x:f>
      </x:c>
    </x:row>
    <x:row r="38">
      <x:c r="A38" s="134" t="n">
        <x:v>2500</x:v>
      </x:c>
      <x:c r="B38" s="134" t="n">
        <x:f>20*LOG10($B$12*A38)-47</x:f>
        <x:v>45.81956114716661</x:v>
      </x:c>
      <x:c r="C38" s="135" t="str">
        <x:f>IF(AND(A38&gt;0.8*$B$17,A38&lt;1.25*$B$17),"fc çevresi","")</x:f>
        <x:v>fc çevresi</x:v>
      </x:c>
    </x:row>
    <x:row r="39">
      <x:c r="A39" s="134" t="n">
        <x:v>3150</x:v>
      </x:c>
      <x:c r="B39" s="134" t="n">
        <x:f>20*LOG10($B$12*A39)-47</x:f>
        <x:v>47.82697204951779</x:v>
      </x:c>
      <x:c r="C39" s="135" t="str">
        <x:f>IF(AND(A39&gt;0.8*$B$17,A39&lt;1.25*$B$17),"fc çevresi","")</x:f>
        <x:v>fc çevresi</x:v>
      </x:c>
    </x:row>
    <x:row r="40">
      <x:c r="A40" s="134" t="n">
        <x:v>4000</x:v>
      </x:c>
      <x:c r="B40" s="134" t="n">
        <x:f>20*LOG10($B$12*A40)-47</x:f>
        <x:v>49.901960800285195</x:v>
      </x:c>
      <x:c r="C40" s="135" t="str">
        <x:f>IF(AND(A40&gt;0.8*$B$17,A40&lt;1.25*$B$17),"fc çevresi","")</x:f>
      </x:c>
    </x:row>
    <x:row r="41">
      <x:c r="A41" s="136" t="n">
        <x:v>5000</x:v>
      </x:c>
      <x:c r="B41" s="136" t="n">
        <x:f>20*LOG10($B$12*A41)-47</x:f>
        <x:v>51.84016106044619</x:v>
      </x:c>
      <x:c r="C41" s="137" t="str">
        <x:f>IF(AND(A41&gt;0.8*$B$17,A41&lt;1.25*$B$17),"fc çevresi","")</x:f>
      </x:c>
    </x:row>
  </x:sheetData>
  <x:mergeCells>
    <x:mergeCell ref="A1:L1"/>
    <x:mergeCell ref="A2:L2"/>
    <x:mergeCell ref="E4:L9"/>
  </x:mergeCells>
  <x:pageMargins left="0.7" right="0.7" top="0.75" bottom="0.75" header="0.3" footer="0.3"/>
  <x:drawing xmlns:r="http://schemas.openxmlformats.org/officeDocument/2006/relationships" r:id="R3bc069556e52428c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4" hidden="0" customWidth="1"/>
    <x:col min="3" max="3" width="15" hidden="0" customWidth="1"/>
  </x:cols>
  <x:sheetData>
    <x:row r="1" ht="30" customHeight="1">
      <x:c r="A1" s="3" t="str">
        <x:v>DARBE SESİ / YÜZER DÖŞEME HIZLI HESAP</x:v>
      </x:c>
    </x:row>
    <x:row r="2" ht="30" customHeight="1">
      <x:c r="A2" s="95" t="str">
        <x:v>ΔLw yalnız test edilen referans döşeme ve sistem koşuluyla kullanılmalıdır; saha L'n,w için flanking/junction düzeltmeleri gerekir.</x:v>
      </x:c>
    </x:row>
    <x:row r="4">
      <x:c r="A4" s="99" t="str">
        <x:v>Girdi / Sonuç</x:v>
      </x:c>
      <x:c r="B4" s="99" t="str">
        <x:v>Değer</x:v>
      </x:c>
      <x:c r="C4" s="102" t="str">
        <x:v>Birim</x:v>
      </x:c>
    </x:row>
    <x:row r="5">
      <x:c r="A5" s="103" t="str">
        <x:v>Baz döşeme L'n,w veya Ln,w</x:v>
      </x:c>
      <x:c r="B5" s="112" t="n">
        <x:v>78</x:v>
      </x:c>
      <x:c r="C5" s="104" t="str">
        <x:v>dB</x:v>
      </x:c>
    </x:row>
    <x:row r="6">
      <x:c r="A6" s="103" t="str">
        <x:v>Seçilen ürün Test_ID</x:v>
      </x:c>
      <x:c r="B6" s="112" t="str">
        <x:v>DL-GETZ-AFM29-RC160-SCR197</x:v>
      </x:c>
      <x:c r="C6" s="104" t="str">
        <x:v>-</x:v>
      </x:c>
    </x:row>
    <x:row r="7">
      <x:c r="A7" s="103" t="str">
        <x:v>Tablodan Δ_Beyan</x:v>
      </x:c>
      <x:c r="B7" s="157" t="n">
        <x:f>IFERROR(VLOOKUP(B6,Delta_Lnw!$A$5:$T$48,12,FALSE),"")</x:f>
        <x:v>33</x:v>
      </x:c>
      <x:c r="C7" s="104" t="str">
        <x:v>dB</x:v>
      </x:c>
    </x:row>
    <x:row r="8">
      <x:c r="A8" s="103" t="str">
        <x:v>Ek saha/flanking cezası</x:v>
      </x:c>
      <x:c r="B8" s="158" t="n">
        <x:v>3</x:v>
      </x:c>
      <x:c r="C8" s="104" t="str">
        <x:v>dB</x:v>
      </x:c>
    </x:row>
    <x:row r="9">
      <x:c r="A9" s="103" t="str">
        <x:v>Tahmini sonuç</x:v>
      </x:c>
      <x:c r="B9" s="157" t="n">
        <x:f>B5-B7+B8</x:f>
        <x:v>48</x:v>
      </x:c>
      <x:c r="C9" s="104" t="str">
        <x:v>dB</x:v>
      </x:c>
    </x:row>
    <x:row r="10">
      <x:c r="A10" s="103" t="str">
        <x:v>Hedef üst sınır</x:v>
      </x:c>
      <x:c r="B10" s="157" t="n">
        <x:v>53</x:v>
      </x:c>
      <x:c r="C10" s="104" t="str">
        <x:v>dB</x:v>
      </x:c>
    </x:row>
    <x:row r="11">
      <x:c r="A11" s="103" t="str">
        <x:v>Marj (+ uygun)</x:v>
      </x:c>
      <x:c r="B11" s="157" t="n">
        <x:f>B10-B9</x:f>
        <x:v>5</x:v>
      </x:c>
      <x:c r="C11" s="104" t="str">
        <x:v>dB</x:v>
      </x:c>
    </x:row>
    <x:row r="12">
      <x:c r="A12" s="105" t="str">
        <x:v>Durum</x:v>
      </x:c>
      <x:c r="B12" s="159" t="str">
        <x:f>IF(B11&gt;=0,"UYGUN","UYGUN DEĞİL")</x:f>
        <x:v>UYGUN</x:v>
      </x:c>
      <x:c r="C12" s="106" t="str">
        <x:v>-</x:v>
      </x:c>
    </x:row>
    <x:row r="15">
      <x:c r="A15" s="99" t="str">
        <x:v>Yüzer Döşeme Rezonansı</x:v>
      </x:c>
      <x:c r="B15" s="99" t="str">
        <x:v>Değer</x:v>
      </x:c>
      <x:c r="C15" s="102" t="str">
        <x:v>Birim</x:v>
      </x:c>
    </x:row>
    <x:row r="16">
      <x:c r="A16" s="103" t="str">
        <x:v>Şap/plaka yüzey kütlesi m'</x:v>
      </x:c>
      <x:c r="B16" s="163" t="n">
        <x:v>120</x:v>
      </x:c>
      <x:c r="C16" s="104" t="str">
        <x:v>kg/m²</x:v>
      </x:c>
    </x:row>
    <x:row r="17">
      <x:c r="A17" s="103" t="str">
        <x:v>Altlık dinamik rijitliği s'</x:v>
      </x:c>
      <x:c r="B17" s="163" t="n">
        <x:v>10</x:v>
      </x:c>
      <x:c r="C17" s="104" t="str">
        <x:v>MN/m³</x:v>
      </x:c>
    </x:row>
    <x:row r="18">
      <x:c r="A18" s="103" t="str">
        <x:v>Yaklaşık rezonans f0</x:v>
      </x:c>
      <x:c r="B18" s="165" t="n">
        <x:f>1/(2*PI())*SQRT(B17*1000000/B16)</x:f>
        <x:v>45.94407461848267</x:v>
      </x:c>
      <x:c r="C18" s="104" t="str">
        <x:v>Hz</x:v>
      </x:c>
    </x:row>
    <x:row r="19">
      <x:c r="A19" s="103" t="str">
        <x:v>Kontrol</x:v>
      </x:c>
      <x:c r="B19" s="165" t="str">
        <x:f>IF(B18&lt;20,"İYİ BAŞLANGIÇ","DÜŞÜK FREKANS KONTROLÜ GEREKİR")</x:f>
        <x:v>DÜŞÜK FREKANS KONTROLÜ GEREKİR</x:v>
      </x:c>
      <x:c r="C19" s="104" t="str"/>
    </x:row>
    <x:row r="20">
      <x:c r="A20" s="103" t="str">
        <x:v>Not</x:v>
      </x:c>
      <x:c r="B20" s="167" t="str">
        <x:v>f0 mümkün olduğunca kullanım bandının altında tutulur; tek başına performans garantisi değildir.</x:v>
      </x:c>
      <x:c r="C20" s="104" t="str"/>
    </x:row>
    <x:row r="21">
      <x:c r="A21" s="105" t="str">
        <x:v>Formül</x:v>
      </x:c>
      <x:c r="B21" s="168" t="str">
        <x:v>f0 = (1/2π)·√(s'/m')</x:v>
      </x:c>
      <x:c r="C21" s="106" t="str"/>
    </x:row>
  </x:sheetData>
  <x:mergeCells>
    <x:mergeCell ref="A1:H1"/>
    <x:mergeCell ref="A2:H2"/>
  </x:mergeCells>
  <x:conditionalFormatting sqref="B12:B12">
    <x:cfRule type="expression" dxfId="0" priority="1">
      <x:formula>B12="UYGUN"</x:formula>
    </x:cfRule>
    <x:cfRule type="expression" dxfId="1" priority="2">
      <x:formula>B12="UYGUN DEĞİL"</x:formula>
    </x:cfRule>
  </x:conditionalFormatting>
  <x:dataValidations count="1">
    <x:dataValidation type="list" sqref="B6">
      <x:formula1>Delta_Lnw!$A$5:$A$48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34" hidden="0" customWidth="1"/>
    <x:col min="5" max="5" width="52" hidden="0" customWidth="1"/>
    <x:col min="6" max="6" width="40" hidden="0" customWidth="1"/>
    <x:col min="7" max="7" width="50" hidden="0" customWidth="1"/>
  </x:cols>
  <x:sheetData>
    <x:row r="1" ht="30" customHeight="1">
      <x:c r="A1" s="5" t="str">
        <x:v>STANDARTLAR ve BİRİNCİL KAYNAKLAR</x:v>
      </x:c>
    </x:row>
    <x:row r="2" ht="34" customHeight="1">
      <x:c r="A2" s="13" t="str">
        <x:v>Kaynak URL'leri veri satırlarında da tutulur. Erişim/derleme tarihi: 2026-06-23. Standartların güncel baskısı ve lisans koşulları proje başlangıcında kontrol edilmelidir.</x:v>
      </x:c>
    </x:row>
    <x:row r="4" ht="42" customHeight="1">
      <x:c r="A4" s="23" t="str">
        <x:v>Kaynak_ID</x:v>
      </x:c>
      <x:c r="B4" s="23" t="str">
        <x:v>Konu</x:v>
      </x:c>
      <x:c r="C4" s="23" t="str">
        <x:v>Kuruluş / Üretici</x:v>
      </x:c>
      <x:c r="D4" s="23" t="str">
        <x:v>Belge / Sayfa</x:v>
      </x:c>
      <x:c r="E4" s="23" t="str">
        <x:v>URL</x:v>
      </x:c>
      <x:c r="F4" s="23" t="str">
        <x:v>Bu Dosyada Kullanılan Veri</x:v>
      </x:c>
      <x:c r="G4" s="23" t="str">
        <x:v>Kritik Not</x:v>
      </x:c>
    </x:row>
    <x:row r="5">
      <x:c r="A5" s="46" t="str">
        <x:v>STD-ISO12354-1</x:v>
      </x:c>
      <x:c r="B5" s="46" t="str">
        <x:v>Bina hava doğuşumlu hesap</x:v>
      </x:c>
      <x:c r="C5" s="46" t="str">
        <x:v>ISO</x:v>
      </x:c>
      <x:c r="D5" s="46" t="str">
        <x:v>ISO 12354-1:2017</x:v>
      </x:c>
      <x:c r="E5" s="46" t="str">
        <x:v>https://www.iso.org/standard/70242.html</x:v>
      </x:c>
      <x:c r="F5" s="46" t="str">
        <x:v>Yapı elemanlarından bina performansına hesap çerçevesi</x:v>
      </x:c>
      <x:c r="G5" s="50" t="str">
        <x:v>Junction/flanking ve spektral veri gerekir.</x:v>
      </x:c>
    </x:row>
    <x:row r="6">
      <x:c r="A6" s="46" t="str">
        <x:v>STD-ISO12354-2</x:v>
      </x:c>
      <x:c r="B6" s="46" t="str">
        <x:v>Bina darbe sesi hesabı</x:v>
      </x:c>
      <x:c r="C6" s="46" t="str">
        <x:v>ISO</x:v>
      </x:c>
      <x:c r="D6" s="46" t="str">
        <x:v>ISO 12354-2:2017</x:v>
      </x:c>
      <x:c r="E6" s="46" t="str">
        <x:v>https://www.iso.org/standard/70243.html</x:v>
      </x:c>
      <x:c r="F6" s="46" t="str">
        <x:v>Döşemeden bina darbe sesine hesap çerçevesi</x:v>
      </x:c>
      <x:c r="G6" s="50" t="str">
        <x:v>Görünür L'n,w, birleşim ve yan iletim etkileri.</x:v>
      </x:c>
    </x:row>
    <x:row r="7">
      <x:c r="A7" s="46" t="str">
        <x:v>STD-ISO717-2</x:v>
      </x:c>
      <x:c r="B7" s="46" t="str">
        <x:v>Tek sayı darbe derecelendirmesi</x:v>
      </x:c>
      <x:c r="C7" s="46" t="str">
        <x:v>ISO</x:v>
      </x:c>
      <x:c r="D7" s="46" t="str">
        <x:v>ISO 717-2:2020</x:v>
      </x:c>
      <x:c r="E7" s="46" t="str">
        <x:v>https://www.iso.org/standard/69867.html</x:v>
      </x:c>
      <x:c r="F7" s="46" t="str">
        <x:v>Ln,w ve ΔLw derecelendirme kavramları</x:v>
      </x:c>
      <x:c r="G7" s="50" t="str">
        <x:v>Test spektrumu ve referans eğri gerekir.</x:v>
      </x:c>
    </x:row>
    <x:row r="8">
      <x:c r="A8" s="46" t="str">
        <x:v>STD-ISO10140-3</x:v>
      </x:c>
      <x:c r="B8" s="46" t="str">
        <x:v>Laboratuvar darbe testi</x:v>
      </x:c>
      <x:c r="C8" s="46" t="str">
        <x:v>ISO</x:v>
      </x:c>
      <x:c r="D8" s="46" t="str">
        <x:v>ISO 10140-3:2021</x:v>
      </x:c>
      <x:c r="E8" s="46" t="str">
        <x:v>https://www.iso.org/standard/79483.html</x:v>
      </x:c>
      <x:c r="F8" s="46" t="str">
        <x:v>Döşeme darbe sesi laboratuvar ölçümü</x:v>
      </x:c>
      <x:c r="G8" s="50" t="str">
        <x:v>Laboratuvar sonucu doğrudan saha sonucu değildir.</x:v>
      </x:c>
    </x:row>
    <x:row r="9">
      <x:c r="A9" s="46" t="str">
        <x:v>STD-ISO16251-1</x:v>
      </x:c>
      <x:c r="B9" s="46" t="str">
        <x:v>Küçük numune kaplama testi</x:v>
      </x:c>
      <x:c r="C9" s="46" t="str">
        <x:v>ISO</x:v>
      </x:c>
      <x:c r="D9" s="46" t="str">
        <x:v>ISO 16251-1:2014</x:v>
      </x:c>
      <x:c r="E9" s="46" t="str">
        <x:v>https://www.iso.org/standard/56017.html</x:v>
      </x:c>
      <x:c r="F9" s="46" t="str">
        <x:v>Yumuşak kaplamalarda küçük numune yöntemi</x:v>
      </x:c>
      <x:c r="G9" s="50" t="str">
        <x:v>Tam döşeme testiyle kapsam farkını kontrol edin.</x:v>
      </x:c>
    </x:row>
    <x:row r="10">
      <x:c r="A10" s="46" t="str">
        <x:v>STD-ISO9052-1</x:v>
      </x:c>
      <x:c r="B10" s="46" t="str">
        <x:v>Dinamik rijitlik</x:v>
      </x:c>
      <x:c r="C10" s="46" t="str">
        <x:v>ISO</x:v>
      </x:c>
      <x:c r="D10" s="46" t="str">
        <x:v>ISO 9052-1:1989</x:v>
      </x:c>
      <x:c r="E10" s="46" t="str">
        <x:v>https://www.iso.org/standard/16620.html</x:v>
      </x:c>
      <x:c r="F10" s="46" t="str">
        <x:v>Yüzer döşeme altlıklarında s'</x:v>
      </x:c>
      <x:c r="G10" s="50" t="str">
        <x:v>Hava rijitliği ve yük koşulu önemlidir.</x:v>
      </x:c>
    </x:row>
    <x:row r="11">
      <x:c r="A11" s="46" t="str">
        <x:v>STD-ISO10534-2</x:v>
      </x:c>
      <x:c r="B11" s="46" t="str">
        <x:v>Empedans tüpü</x:v>
      </x:c>
      <x:c r="C11" s="46" t="str">
        <x:v>ISO</x:v>
      </x:c>
      <x:c r="D11" s="46" t="str">
        <x:v>ISO 10534-2:2023</x:v>
      </x:c>
      <x:c r="E11" s="46" t="str">
        <x:v>https://www.iso.org/standard/81294.html</x:v>
      </x:c>
      <x:c r="F11" s="46" t="str">
        <x:v>Empedans, wavenumber ve emilim karakterizasyonu</x:v>
      </x:c>
      <x:c r="G11" s="50" t="str">
        <x:v>Numune montajı ve çap/frekans sınırları vardır.</x:v>
      </x:c>
    </x:row>
    <x:row r="12">
      <x:c r="A12" s="46" t="str">
        <x:v>MODEL-MIKI</x:v>
      </x:c>
      <x:c r="B12" s="46" t="str">
        <x:v>Gözenekli model</x:v>
      </x:c>
      <x:c r="C12" s="46" t="str">
        <x:v>J-STAGE</x:v>
      </x:c>
      <x:c r="D12" s="46" t="str">
        <x:v>Miki empirical model</x:v>
      </x:c>
      <x:c r="E12" s="46" t="str">
        <x:v>https://www.jstage.jst.go.jp/article/ast1980/11/1/11_1_25/_article</x:v>
      </x:c>
      <x:c r="F12" s="46" t="str">
        <x:v>Akış özdirencine dayalı empirik model</x:v>
      </x:c>
      <x:c r="G12" s="50" t="str">
        <x:v>Geçerlilik aralığı dışında ekstrapole etmeyin.</x:v>
      </x:c>
    </x:row>
    <x:row r="13">
      <x:c r="A13" s="46" t="str">
        <x:v>MODEL-JCA</x:v>
      </x:c>
      <x:c r="B13" s="46" t="str">
        <x:v>Gözenekli model</x:v>
      </x:c>
      <x:c r="C13" s="46" t="str">
        <x:v>Matelys / APMR</x:v>
      </x:c>
      <x:c r="D13" s="46" t="str">
        <x:v>Johnson–Champoux–Allard model</x:v>
      </x:c>
      <x:c r="E13" s="46" t="str">
        <x:v>https://apmr.matelys.com/PropagationModels/MotionlessSkeleton/JohnsonChampouxAllardModel.html</x:v>
      </x:c>
      <x:c r="F13" s="46" t="str">
        <x:v>JCA parametre seti tanımları</x:v>
      </x:c>
      <x:c r="G13" s="50" t="str">
        <x:v>Limp/rigid-frame varsayımını bilinçli seçin.</x:v>
      </x:c>
    </x:row>
    <x:row r="14">
      <x:c r="A14" s="46" t="str">
        <x:v>SRC-KNAUF-SILENT</x:v>
      </x:c>
      <x:c r="B14" s="46" t="str">
        <x:v>Alçı levha</x:v>
      </x:c>
      <x:c r="C14" s="46" t="str">
        <x:v>Knauf</x:v>
      </x:c>
      <x:c r="D14" s="46" t="str">
        <x:v>Silentboard teknik föy</x:v>
      </x:c>
      <x:c r="E14" s="46" t="str">
        <x:v>https://knauf.com/api/download-center/v1/assets/f6bf55f0-43da-4357-9ed6-b285dca04ac6?download=true</x:v>
      </x:c>
      <x:c r="F14" s="46" t="str">
        <x:v>d, ρ, m', λ</x:v>
      </x:c>
      <x:c r="G14" s="50" t="str">
        <x:v>Dinamik E ve η föyde yok.</x:v>
      </x:c>
    </x:row>
    <x:row r="15">
      <x:c r="A15" s="46" t="str">
        <x:v>SRC-BG-SB12</x:v>
      </x:c>
      <x:c r="B15" s="46" t="str">
        <x:v>Alçı levha</x:v>
      </x:c>
      <x:c r="C15" s="46" t="str">
        <x:v>British Gypsum</x:v>
      </x:c>
      <x:c r="D15" s="46" t="str">
        <x:v>Gyproc SoundBloc 12.5 PDS</x:v>
      </x:c>
      <x:c r="E15" s="46" t="str">
        <x:v>https://www.british-gypsum.com/documents/product-data-sheet-pds/british-gypsum-pds-gyproc-soundbloc-12-5mm.pdf</x:v>
      </x:c>
      <x:c r="F15" s="46" t="str">
        <x:v>d, minimum m'</x:v>
      </x:c>
      <x:c r="G15" s="50" t="str">
        <x:v>ρ m'/d ile türetilmiştir.</x:v>
      </x:c>
    </x:row>
    <x:row r="16">
      <x:c r="A16" s="46" t="str">
        <x:v>SRC-BG-SB15</x:v>
      </x:c>
      <x:c r="B16" s="46" t="str">
        <x:v>Alçı levha</x:v>
      </x:c>
      <x:c r="C16" s="46" t="str">
        <x:v>British Gypsum</x:v>
      </x:c>
      <x:c r="D16" s="46" t="str">
        <x:v>Gyproc SoundBloc 15 EPD</x:v>
      </x:c>
      <x:c r="E16" s="46" t="str">
        <x:v>https://www.british-gypsum.com/documents/environmental-product-declaration-epd/british-gypsum-epd-gyproc-soundbloc-15mm.pdf</x:v>
      </x:c>
      <x:c r="F16" s="46" t="str">
        <x:v>d, nominal ve gerçek m' aralığı</x:v>
      </x:c>
      <x:c r="G16" s="50" t="str">
        <x:v>ρ nominal m'/d ile türetilmiştir.</x:v>
      </x:c>
    </x:row>
    <x:row r="17">
      <x:c r="A17" s="46" t="str">
        <x:v>SRC-XELLA-AAC</x:v>
      </x:c>
      <x:c r="B17" s="46" t="str">
        <x:v>AAC</x:v>
      </x:c>
      <x:c r="C17" s="46" t="str">
        <x:v>Xella</x:v>
      </x:c>
      <x:c r="D17" s="46" t="str">
        <x:v>Ytong AAC EPD</x:v>
      </x:c>
      <x:c r="E17" s="46" t="str">
        <x:v>https://storefrontapi.commerce.xella.com/occ/v2/at/catalogs/atContentCatalog/versions/Online/xellamedia/Ytong-BAU-EPD-Porenbetonsteine.pdf</x:v>
      </x:c>
      <x:c r="F17" s="46" t="str">
        <x:v>ρ, E, basınç ve boyut aralıkları</x:v>
      </x:c>
      <x:c r="G17" s="50" t="str">
        <x:v>Ürün sınıfı/nem için TDS doğrulaması gerekir.</x:v>
      </x:c>
    </x:row>
    <x:row r="18">
      <x:c r="A18" s="46" t="str">
        <x:v>SRC-HH-STANDARD</x:v>
      </x:c>
      <x:c r="B18" s="46" t="str">
        <x:v>AAC</x:v>
      </x:c>
      <x:c r="C18" s="46" t="str">
        <x:v>H+H Celcon</x:v>
      </x:c>
      <x:c r="D18" s="46" t="str">
        <x:v>Standard grade blocks</x:v>
      </x:c>
      <x:c r="E18" s="46" t="str">
        <x:v>https://www.hhcelcon.co.uk/products-applications/products/standard-grade-blocks</x:v>
      </x:c>
      <x:c r="F18" s="46" t="str">
        <x:v>ρ, fck, λ, kalınlıklar</x:v>
      </x:c>
      <x:c r="G18" s="50" t="str">
        <x:v>E ve η varsayımdır.</x:v>
      </x:c>
    </x:row>
    <x:row r="19">
      <x:c r="A19" s="46" t="str">
        <x:v>SRC-HH-SOLAR</x:v>
      </x:c>
      <x:c r="B19" s="46" t="str">
        <x:v>AAC</x:v>
      </x:c>
      <x:c r="C19" s="46" t="str">
        <x:v>H+H Celcon</x:v>
      </x:c>
      <x:c r="D19" s="46" t="str">
        <x:v>Solar grade blocks</x:v>
      </x:c>
      <x:c r="E19" s="46" t="str">
        <x:v>https://www.hhcelcon.co.uk/products-applications/products/solar-grade-blocks</x:v>
      </x:c>
      <x:c r="F19" s="46" t="str">
        <x:v>ρ, fck, λ, kalınlıklar</x:v>
      </x:c>
      <x:c r="G19" s="50" t="str">
        <x:v>E ve η varsayımdır.</x:v>
      </x:c>
    </x:row>
    <x:row r="20">
      <x:c r="A20" s="46" t="str">
        <x:v>SRC-HH-HIGH</x:v>
      </x:c>
      <x:c r="B20" s="46" t="str">
        <x:v>AAC</x:v>
      </x:c>
      <x:c r="C20" s="46" t="str">
        <x:v>H+H Celcon</x:v>
      </x:c>
      <x:c r="D20" s="46" t="str">
        <x:v>High Strength grade blocks</x:v>
      </x:c>
      <x:c r="E20" s="46" t="str">
        <x:v>https://www.hhcelcon.co.uk/products-applications/products/high-strength-grade-blocks</x:v>
      </x:c>
      <x:c r="F20" s="46" t="str">
        <x:v>ρ, fck, λ, kalınlıklar</x:v>
      </x:c>
      <x:c r="G20" s="50" t="str">
        <x:v>E ve η varsayımdır.</x:v>
      </x:c>
    </x:row>
    <x:row r="21">
      <x:c r="A21" s="46" t="str">
        <x:v>SRC-ROCKWOOL</x:v>
      </x:c>
      <x:c r="B21" s="46" t="str">
        <x:v>Mineral yün</x:v>
      </x:c>
      <x:c r="C21" s="46" t="str">
        <x:v>ROCKWOOL</x:v>
      </x:c>
      <x:c r="D21" s="46" t="str">
        <x:v>RW slabs datasheet</x:v>
      </x:c>
      <x:c r="E21" s="46" t="str">
        <x:v>https://d-cdn.rockwool.com/syssiteassets/rw-uk/downloads/datasheets/rw-slabs.pdf</x:v>
      </x:c>
      <x:c r="F21" s="46" t="str">
        <x:v>RWA45/RW3/RW4/RW5/RW6 yoğunlukları</x:v>
      </x:c>
      <x:c r="G21" s="50" t="str">
        <x:v>JCA parametreleri üretici verisi değildir.</x:v>
      </x:c>
    </x:row>
    <x:row r="22">
      <x:c r="A22" s="46" t="str">
        <x:v>SRC-TECSOUND</x:v>
      </x:c>
      <x:c r="B22" s="46" t="str">
        <x:v>Ses bariyeri</x:v>
      </x:c>
      <x:c r="C22" s="46" t="str">
        <x:v>SOPREMA</x:v>
      </x:c>
      <x:c r="D22" s="46" t="str">
        <x:v>TECSOUND product page</x:v>
      </x:c>
      <x:c r="E22" s="46" t="str">
        <x:v>https://apac.soprema.com/product/tecsound-829/</x:v>
      </x:c>
      <x:c r="F22" s="46" t="str">
        <x:v>35/50/70/100 d ve m'</x:v>
      </x:c>
      <x:c r="G22" s="50" t="str">
        <x:v>E ve η verilmemiştir.</x:v>
      </x:c>
    </x:row>
    <x:row r="23">
      <x:c r="A23" s="46" t="str">
        <x:v>SRC-PYROTEK</x:v>
      </x:c>
      <x:c r="B23" s="46" t="str">
        <x:v>Damping</x:v>
      </x:c>
      <x:c r="C23" s="46" t="str">
        <x:v>Pyrotek</x:v>
      </x:c>
      <x:c r="D23" s="46" t="str">
        <x:v>Decidamp SP150 TDS</x:v>
      </x:c>
      <x:c r="E23" s="46" t="str">
        <x:v>https://www.pyroteknc.com/assets/documents/DECIDAMP-SP150-TDS-113IP-1-v5.pdf</x:v>
      </x:c>
      <x:c r="F23" s="46" t="str">
        <x:v>Frekansa bağlı E', η; yüzey kütlesi ve sistem loss factor</x:v>
      </x:c>
      <x:c r="G23" s="50" t="str">
        <x:v>Sıcaklık ve substrat koşulunu eşleştirin.</x:v>
      </x:c>
    </x:row>
    <x:row r="24">
      <x:c r="A24" s="46" t="str">
        <x:v>SRC-3M112</x:v>
      </x:c>
      <x:c r="B24" s="46" t="str">
        <x:v>Damping</x:v>
      </x:c>
      <x:c r="C24" s="46" t="str">
        <x:v>3M</x:v>
      </x:c>
      <x:c r="D24" s="46" t="str">
        <x:v>Viscoelastic Damping Polymer 112 Series</x:v>
      </x:c>
      <x:c r="E24" s="46" t="str">
        <x:v>https://multimedia.3m.com/mws/media/828134O/3m-viscoelastic-damping-polymer-112-series.pdf</x:v>
      </x:c>
      <x:c r="F24" s="46" t="str">
        <x:v>Kalınlık, yoğunluk, ν ve nomogram yaklaşımı</x:v>
      </x:c>
      <x:c r="G24" s="50" t="str">
        <x:v>Tek sabit E/η kullanılmamalıdır.</x:v>
      </x:c>
    </x:row>
    <x:row r="25">
      <x:c r="A25" s="46" t="str">
        <x:v>SRC-GETZNER-AFM29</x:v>
      </x:c>
      <x:c r="B25" s="46" t="str">
        <x:v>Darbe sesi</x:v>
      </x:c>
      <x:c r="C25" s="46" t="str">
        <x:v>Getzner</x:v>
      </x:c>
      <x:c r="D25" s="46" t="str">
        <x:v>Acoustic Floor Mat 29 datasheet</x:v>
      </x:c>
      <x:c r="E25" s="46" t="str">
        <x:v>https://www.getzner.com/media/14078/download/Data%20Sheet%20Acoustic%20Floor%20Mat%2029%20EN.pdf?v=5</x:v>
      </x:c>
      <x:c r="F25" s="46" t="str">
        <x:v>s', sıkışabilirlik ve üç test sistemi ΔLw</x:v>
      </x:c>
      <x:c r="G25" s="50" t="str">
        <x:v>Sistem koşullarıyla birlikte kullanılmalıdır.</x:v>
      </x:c>
    </x:row>
    <x:row r="26">
      <x:c r="A26" s="46" t="str">
        <x:v>SRC-DAMTEC</x:v>
      </x:c>
      <x:c r="B26" s="46" t="str">
        <x:v>Darbe sesi</x:v>
      </x:c>
      <x:c r="C26" s="46" t="str">
        <x:v>KRAIBURG Relastec</x:v>
      </x:c>
      <x:c r="D26" s="46" t="str">
        <x:v>DAMTEC under screed brochure</x:v>
      </x:c>
      <x:c r="E26" s="46" t="str">
        <x:v>https://www.kraiburg-relastec.com/damtec/wp-content/uploads/sites/2/2019/09/DAMTEC_under_screed_EN_v1_2019.pdf</x:v>
      </x:c>
      <x:c r="F26" s="46" t="str">
        <x:v>Farklı ürün/şap sistemleri ΔLw</x:v>
      </x:c>
      <x:c r="G26" s="50" t="str">
        <x:v>Şap kütlesi ve kalınlığı sonuçla birlikte tutulmuştur.</x:v>
      </x:c>
    </x:row>
    <x:row r="27">
      <x:c r="A27" s="46" t="str">
        <x:v>SRC-DITRA</x:v>
      </x:c>
      <x:c r="B27" s="46" t="str">
        <x:v>Darbe sesi</x:v>
      </x:c>
      <x:c r="C27" s="46" t="str">
        <x:v>Schlüter</x:v>
      </x:c>
      <x:c r="D27" s="46" t="str">
        <x:v>DITRA-SOUND brochure</x:v>
      </x:c>
      <x:c r="E27" s="46" t="str">
        <x:v>https://assets.schluter.com/asset/570120892212/document_bd9ftlao5926r0vrla5ukp4b77/552264_Prospekt_Ditra_Sound_GB?content-disposition=inline</x:v>
      </x:c>
      <x:c r="F27" s="46" t="str">
        <x:v>d ve ΔLw=13 dB</x:v>
      </x:c>
      <x:c r="G27" s="50" t="str">
        <x:v>Eski ISO 140-8 standardı.</x:v>
      </x:c>
    </x:row>
    <x:row r="28">
      <x:c r="A28" s="46" t="str">
        <x:v>SRC-REGUPOL</x:v>
      </x:c>
      <x:c r="B28" s="46" t="str">
        <x:v>Darbe sesi</x:v>
      </x:c>
      <x:c r="C28" s="46" t="str">
        <x:v>REGUPOL</x:v>
      </x:c>
      <x:c r="D28" s="46" t="str">
        <x:v>REGUPOL sound product range</x:v>
      </x:c>
      <x:c r="E28" s="46" t="str">
        <x:v>https://acoustics.regupol.com/products/range/regupol-sound/</x:v>
      </x:c>
      <x:c r="F28" s="46" t="str">
        <x:v>Ürün bazlı d, m', s', c ve ΔLw</x:v>
      </x:c>
      <x:c r="G28" s="50" t="str">
        <x:v>Tam test raporu referans yapısı kontrol edilmelidir.</x:v>
      </x:c>
    </x:row>
    <x:row r="29">
      <x:c r="A29" s="47" t="str">
        <x:v>SRC-ISOLGOMMA</x:v>
      </x:c>
      <x:c r="B29" s="47" t="str">
        <x:v>Darbe sesi</x:v>
      </x:c>
      <x:c r="C29" s="47" t="str">
        <x:v>Isolgomma</x:v>
      </x:c>
      <x:c r="D29" s="47" t="str">
        <x:v>Product pages</x:v>
      </x:c>
      <x:c r="E29" s="47" t="str">
        <x:v>https://www.isolgomma.com/</x:v>
      </x:c>
      <x:c r="F29" s="47" t="str">
        <x:v>Ürün bazlı ΔLw/s'</x:v>
      </x:c>
      <x:c r="G29" s="51" t="str">
        <x:v>Bazı sayfalarda anlatım ve teknik tablo tutarsızlığı not edildi.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d577f7bc4fa439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172" t="str">
        <x:v>AKUSTİK MALZEME ve ΔLn,w / ΔLw VERİ TABANI</x:v>
      </x:c>
    </x:row>
    <x:row r="2" ht="36" customHeight="1">
      <x:c r="A2" s="95" t="str">
        <x:v>Duvar katmanları, gözenekli dolgular, ses bariyerleri, damping malzemeleri, zemin katmanları ve darbe sesi iyileştirme verileri. Ölçülmüş/üretici verisi ile mühendislik başlangıç varsayımı açıkça ayrılmıştır.</x:v>
      </x:c>
    </x:row>
    <x:row r="4">
      <x:c r="A4" s="99" t="str">
        <x:v>İçerik</x:v>
      </x:c>
      <x:c r="B4" s="102" t="str">
        <x:v>Satır Sayısı</x:v>
      </x:c>
      <x:c r="D4" s="99" t="str">
        <x:v>VERİ SINIFI HİYERARŞİSİ</x:v>
      </x:c>
    </x:row>
    <x:row r="5" ht="48" customHeight="1">
      <x:c r="A5" s="103" t="str">
        <x:v>Duvar katmanları</x:v>
      </x:c>
      <x:c r="B5" s="179" t="n">
        <x:f>COUNTA(Duvar_Katmanlari!A5:A450)</x:f>
        <x:v>446</x:v>
      </x:c>
      <x:c r="D5" s="219" t="str">
        <x:v>MANUFACTURER / LAB VERIFIED</x:v>
      </x:c>
      <x:c r="E5" s="220" t="str"/>
      <x:c r="F5" s="220" t="str">
        <x:v>Ürün/test raporunda açıkça verilen değer; yine de numune ve koşul eşleşmesi gerekir.</x:v>
      </x:c>
      <x:c r="G5" s="220" t="str"/>
      <x:c r="H5" s="220" t="str"/>
      <x:c r="I5" s="220" t="str"/>
      <x:c r="J5" s="220" t="str"/>
    </x:row>
    <x:row r="6" ht="48" customHeight="1">
      <x:c r="A6" s="103" t="str">
        <x:v>Gözenekli / elastik dolgular</x:v>
      </x:c>
      <x:c r="B6" s="179" t="n">
        <x:f>COUNTA(Poroz_Elastik!A5:A276)</x:f>
        <x:v>272</x:v>
      </x:c>
      <x:c r="D6" s="223" t="str">
        <x:v>DERIVED</x:v>
      </x:c>
      <x:c r="E6" s="224" t="str"/>
      <x:c r="F6" s="224" t="str">
        <x:v>Üretici d ve m' gibi verilerinden formülle türetilen değer.</x:v>
      </x:c>
      <x:c r="G6" s="224" t="str"/>
      <x:c r="H6" s="224" t="str"/>
      <x:c r="I6" s="224" t="str"/>
      <x:c r="J6" s="224" t="str"/>
    </x:row>
    <x:row r="7" ht="48" customHeight="1">
      <x:c r="A7" s="103" t="str">
        <x:v>Bariyer / damping</x:v>
      </x:c>
      <x:c r="B7" s="179" t="n">
        <x:f>COUNTA(Bariyer_Damping!A5:A42)</x:f>
        <x:v>38</x:v>
      </x:c>
      <x:c r="D7" s="227" t="str">
        <x:v>RANGE_ANCHORED_ENGINEERING</x:v>
      </x:c>
      <x:c r="E7" s="228" t="str"/>
      <x:c r="F7" s="228" t="str">
        <x:v>Resmi aralığa oturtulmuş interpolasyon/nominal sınıf.</x:v>
      </x:c>
      <x:c r="G7" s="228" t="str"/>
      <x:c r="H7" s="228" t="str"/>
      <x:c r="I7" s="228" t="str"/>
      <x:c r="J7" s="228" t="str"/>
    </x:row>
    <x:row r="8" ht="48" customHeight="1">
      <x:c r="A8" s="103" t="str">
        <x:v>Zemin katmanları</x:v>
      </x:c>
      <x:c r="B8" s="179" t="n">
        <x:f>COUNTA(Zemin_Katmanlari!A5:A144)</x:f>
        <x:v>140</x:v>
      </x:c>
      <x:c r="D8" s="231" t="str">
        <x:v>ENGINEERING_DEFAULT</x:v>
      </x:c>
      <x:c r="E8" s="232" t="str"/>
      <x:c r="F8" s="232" t="str">
        <x:v>Model başlangıç değeri; kalibrasyon ve hassasiyet analizi zorunlu.</x:v>
      </x:c>
      <x:c r="G8" s="232" t="str"/>
      <x:c r="H8" s="232" t="str"/>
      <x:c r="I8" s="232" t="str"/>
      <x:c r="J8" s="232" t="str"/>
    </x:row>
    <x:row r="9" ht="48" customHeight="1">
      <x:c r="A9" s="103" t="str">
        <x:v>ΔLw / ΔLn,w test satırları</x:v>
      </x:c>
      <x:c r="B9" s="179" t="n">
        <x:f>COUNTA(Delta_Lnw!A5:A48)</x:f>
        <x:v>44</x:v>
      </x:c>
      <x:c r="D9" s="235" t="str">
        <x:v>GENERIC_RANGE</x:v>
      </x:c>
      <x:c r="E9" s="236" t="str"/>
      <x:c r="F9" s="236" t="str">
        <x:v>Karşılaştırma amaçlı geniş aralık; tasarım beyanı değildir.</x:v>
      </x:c>
      <x:c r="G9" s="236" t="str"/>
      <x:c r="H9" s="236" t="str"/>
      <x:c r="I9" s="236" t="str"/>
      <x:c r="J9" s="236" t="str"/>
    </x:row>
    <x:row r="10">
      <x:c r="A10" s="105" t="str">
        <x:v>Parametre tanımları</x:v>
      </x:c>
      <x:c r="B10" s="180" t="n">
        <x:f>COUNTA(Parametre_Sozlugu!A5:A29)</x:f>
        <x:v>25</x:v>
      </x:c>
    </x:row>
    <x:row r="13" ht="24" customHeight="1">
      <x:c r="A13" s="209" t="str">
        <x:v>KULLANIM KURALLARI – yazılıma aktarırken saklanması gereken bağlam</x:v>
      </x:c>
    </x:row>
    <x:row r="14" ht="38" customHeight="1">
      <x:c r="A14" s="99" t="str">
        <x:v>1</x:v>
      </x:c>
      <x:c r="B14" s="241" t="str">
        <x:v>Rw, R(f), Ln,w, L'n,w ve ΔLw malzeme sabiti değildir; tam numune/sistem ve standarda bağlı sonuçtur.</x:v>
      </x:c>
      <x:c r="C14" s="241" t="str"/>
      <x:c r="D14" s="241" t="str"/>
      <x:c r="E14" s="241" t="str"/>
      <x:c r="F14" s="241" t="str"/>
      <x:c r="G14" s="241" t="str"/>
      <x:c r="H14" s="241" t="str"/>
      <x:c r="I14" s="241" t="str"/>
      <x:c r="J14" s="241" t="str"/>
    </x:row>
    <x:row r="15" ht="38" customHeight="1">
      <x:c r="A15" s="99" t="str">
        <x:v>2</x:v>
      </x:c>
      <x:c r="B15" s="241" t="str">
        <x:v>E, G, η ve empedans frekans ve sıcaklığa bağlı olabilir. Dinamik ve statik mekanik verileri karıştırmayın.</x:v>
      </x:c>
      <x:c r="C15" s="241" t="str"/>
      <x:c r="D15" s="241" t="str"/>
      <x:c r="E15" s="241" t="str"/>
      <x:c r="F15" s="241" t="str"/>
      <x:c r="G15" s="241" t="str"/>
      <x:c r="H15" s="241" t="str"/>
      <x:c r="I15" s="241" t="str"/>
      <x:c r="J15" s="241" t="str"/>
    </x:row>
    <x:row r="16" ht="38" customHeight="1">
      <x:c r="A16" s="99" t="str">
        <x:v>3</x:v>
      </x:c>
      <x:c r="B16" s="241" t="str">
        <x:v>Gözenekli malzemede σ, φ, α∞, Λ, Λ' gibi parametreleri ürün bazlı ölçün veya ters tanımlamayla kalibre edin.</x:v>
      </x:c>
      <x:c r="C16" s="241" t="str"/>
      <x:c r="D16" s="241" t="str"/>
      <x:c r="E16" s="241" t="str"/>
      <x:c r="F16" s="241" t="str"/>
      <x:c r="G16" s="241" t="str"/>
      <x:c r="H16" s="241" t="str"/>
      <x:c r="I16" s="241" t="str"/>
      <x:c r="J16" s="241" t="str"/>
    </x:row>
    <x:row r="17" ht="38" customHeight="1">
      <x:c r="A17" s="99" t="str">
        <x:v>4</x:v>
      </x:c>
      <x:c r="B17" s="241" t="str">
        <x:v>ΔLw verisini referans döşeme, şap yüzey kütlesi, kaplama, test standardı ve numune kalınlığıyla birlikte saklayın.</x:v>
      </x:c>
      <x:c r="C17" s="241" t="str"/>
      <x:c r="D17" s="241" t="str"/>
      <x:c r="E17" s="241" t="str"/>
      <x:c r="F17" s="241" t="str"/>
      <x:c r="G17" s="241" t="str"/>
      <x:c r="H17" s="241" t="str"/>
      <x:c r="I17" s="241" t="str"/>
      <x:c r="J17" s="241" t="str"/>
    </x:row>
    <x:row r="18" ht="38" customHeight="1">
      <x:c r="A18" s="99" t="str">
        <x:v>5</x:v>
      </x:c>
      <x:c r="B18" s="241" t="str">
        <x:v>Bina tahmininde ISO 12354 yaklaşımı için birleşim türleri, yan iletim, alanlar, bağlantı uzunlukları ve sınır koşulları gerekir.</x:v>
      </x:c>
      <x:c r="C18" s="241" t="str"/>
      <x:c r="D18" s="241" t="str"/>
      <x:c r="E18" s="241" t="str"/>
      <x:c r="F18" s="241" t="str"/>
      <x:c r="G18" s="241" t="str"/>
      <x:c r="H18" s="241" t="str"/>
      <x:c r="I18" s="241" t="str"/>
      <x:c r="J18" s="241" t="str"/>
    </x:row>
    <x:row r="19" ht="38" customHeight="1">
      <x:c r="A19" s="99" t="str">
        <x:v>6</x:v>
      </x:c>
      <x:c r="B19" s="241" t="str">
        <x:v>Kapı, pencere, priz, kaçak, flank ve işçilik kusurları katman tablosunda görünmez; sistem modeli/QA ayrı tutulmalıdır.</x:v>
      </x:c>
      <x:c r="C19" s="241" t="str"/>
      <x:c r="D19" s="241" t="str"/>
      <x:c r="E19" s="241" t="str"/>
      <x:c r="F19" s="241" t="str"/>
      <x:c r="G19" s="241" t="str"/>
      <x:c r="H19" s="241" t="str"/>
      <x:c r="I19" s="241" t="str"/>
      <x:c r="J19" s="241" t="str"/>
    </x:row>
    <x:row r="20" ht="38" customHeight="1">
      <x:c r="A20" s="99" t="str">
        <x:v>7</x:v>
      </x:c>
      <x:c r="B20" s="241" t="str">
        <x:v>Üretici URL'leri değişebilir. İhale/uygulama sürümünde PDF test raporunu arşivleyip belge revizyonunu kaydedin.</x:v>
      </x:c>
      <x:c r="C20" s="241" t="str"/>
      <x:c r="D20" s="241" t="str"/>
      <x:c r="E20" s="241" t="str"/>
      <x:c r="F20" s="241" t="str"/>
      <x:c r="G20" s="241" t="str"/>
      <x:c r="H20" s="241" t="str"/>
      <x:c r="I20" s="241" t="str"/>
      <x:c r="J20" s="241" t="str"/>
    </x:row>
    <x:row r="23">
      <x:c r="A23" s="209" t="str">
        <x:v>SAYFA HARİTASI</x:v>
      </x:c>
    </x:row>
    <x:row r="24" ht="40" customHeight="1">
      <x:c r="A24" s="112" t="str">
        <x:v>Duvar_Katmanlari</x:v>
      </x:c>
      <x:c r="B24" s="241" t="str">
        <x:v>Alçı levha, AAC, betonarme, sıva, tuğla/blok, levha ve metal/cam katmanları; türetilen m', G, cL, ZL, D, fc.</x:v>
      </x:c>
      <x:c r="C24" s="241" t="str"/>
      <x:c r="D24" s="241" t="str"/>
      <x:c r="E24" s="241" t="str"/>
      <x:c r="F24" s="241" t="str"/>
      <x:c r="G24" s="241" t="str"/>
      <x:c r="H24" s="241" t="str"/>
      <x:c r="I24" s="241" t="str"/>
      <x:c r="J24" s="241" t="str"/>
    </x:row>
    <x:row r="25" ht="40" customHeight="1">
      <x:c r="A25" s="112" t="str">
        <x:v>Poroz_Elastik</x:v>
      </x:c>
      <x:c r="B25" s="241" t="str">
        <x:v>Taş yünü, cam yünü, Rockwool ürünleri, hava ve diğer poröz dolgular; JCA/JCAL başlangıç parametreleri.</x:v>
      </x:c>
      <x:c r="C25" s="241" t="str"/>
      <x:c r="D25" s="241" t="str"/>
      <x:c r="E25" s="241" t="str"/>
      <x:c r="F25" s="241" t="str"/>
      <x:c r="G25" s="241" t="str"/>
      <x:c r="H25" s="241" t="str"/>
      <x:c r="I25" s="241" t="str"/>
      <x:c r="J25" s="241" t="str"/>
    </x:row>
    <x:row r="26" ht="40" customHeight="1">
      <x:c r="A26" s="112" t="str">
        <x:v>Bariyer_Damping</x:v>
      </x:c>
      <x:c r="B26" s="241" t="str">
        <x:v>MLV/ağır membranlar, TECSOUND/DANOSA referansları ve frekans bağımlı damping örnekleri.</x:v>
      </x:c>
      <x:c r="C26" s="241" t="str"/>
      <x:c r="D26" s="241" t="str"/>
      <x:c r="E26" s="241" t="str"/>
      <x:c r="F26" s="241" t="str"/>
      <x:c r="G26" s="241" t="str"/>
      <x:c r="H26" s="241" t="str"/>
      <x:c r="I26" s="241" t="str"/>
      <x:c r="J26" s="241" t="str"/>
    </x:row>
    <x:row r="27" ht="40" customHeight="1">
      <x:c r="A27" s="112" t="str">
        <x:v>Zemin_Katmanlari</x:v>
      </x:c>
      <x:c r="B27" s="241" t="str">
        <x:v>Döşeme, şap, levha, kaplama ve elastik altlık parametreleri.</x:v>
      </x:c>
      <x:c r="C27" s="241" t="str"/>
      <x:c r="D27" s="241" t="str"/>
      <x:c r="E27" s="241" t="str"/>
      <x:c r="F27" s="241" t="str"/>
      <x:c r="G27" s="241" t="str"/>
      <x:c r="H27" s="241" t="str"/>
      <x:c r="I27" s="241" t="str"/>
      <x:c r="J27" s="241" t="str"/>
    </x:row>
    <x:row r="28" ht="40" customHeight="1">
      <x:c r="A28" s="112" t="str">
        <x:v>Delta_Lnw</x:v>
      </x:c>
      <x:c r="B28" s="241" t="str">
        <x:v>Üretici/test sistemi bazlı ΔLw/ΔLn verileri ve açıkça işaretlenmiş genel aralıklar.</x:v>
      </x:c>
      <x:c r="C28" s="241" t="str"/>
      <x:c r="D28" s="241" t="str"/>
      <x:c r="E28" s="241" t="str"/>
      <x:c r="F28" s="241" t="str"/>
      <x:c r="G28" s="241" t="str"/>
      <x:c r="H28" s="241" t="str"/>
      <x:c r="I28" s="241" t="str"/>
      <x:c r="J28" s="241" t="str"/>
    </x:row>
    <x:row r="29" ht="40" customHeight="1">
      <x:c r="A29" s="112" t="str">
        <x:v>Hesap_Duvar</x:v>
      </x:c>
      <x:c r="B29" s="241" t="str">
        <x:v>Tek kabuk kütle yasası, plaka rijitliği ve kritik frekans hızlı kontrolü.</x:v>
      </x:c>
      <x:c r="C29" s="241" t="str"/>
      <x:c r="D29" s="241" t="str"/>
      <x:c r="E29" s="241" t="str"/>
      <x:c r="F29" s="241" t="str"/>
      <x:c r="G29" s="241" t="str"/>
      <x:c r="H29" s="241" t="str"/>
      <x:c r="I29" s="241" t="str"/>
      <x:c r="J29" s="241" t="str"/>
    </x:row>
    <x:row r="30" ht="40" customHeight="1">
      <x:c r="A30" s="112" t="str">
        <x:v>Hesap_Zemin</x:v>
      </x:c>
      <x:c r="B30" s="241" t="str">
        <x:v>Ürün seçimiyle yaklaşık sonuç ve yüzer döşeme rezonansı kontrolü.</x:v>
      </x:c>
      <x:c r="C30" s="241" t="str"/>
      <x:c r="D30" s="241" t="str"/>
      <x:c r="E30" s="241" t="str"/>
      <x:c r="F30" s="241" t="str"/>
      <x:c r="G30" s="241" t="str"/>
      <x:c r="H30" s="241" t="str"/>
      <x:c r="I30" s="241" t="str"/>
      <x:c r="J30" s="241" t="str"/>
    </x:row>
    <x:row r="31" ht="40" customHeight="1">
      <x:c r="A31" s="112" t="str">
        <x:v>Parametre_Sozlugu</x:v>
      </x:c>
      <x:c r="B31" s="241" t="str">
        <x:v>Sembol, birim, ölçüm ve kullanım sınırları.</x:v>
      </x:c>
      <x:c r="C31" s="241" t="str"/>
      <x:c r="D31" s="241" t="str"/>
      <x:c r="E31" s="241" t="str"/>
      <x:c r="F31" s="241" t="str"/>
      <x:c r="G31" s="241" t="str"/>
      <x:c r="H31" s="241" t="str"/>
      <x:c r="I31" s="241" t="str"/>
      <x:c r="J31" s="241" t="str"/>
    </x:row>
    <x:row r="32" ht="40" customHeight="1">
      <x:c r="A32" s="112" t="str">
        <x:v>Standartlar_Kaynaklar</x:v>
      </x:c>
      <x:c r="B32" s="241" t="str">
        <x:v>Birincil kaynak URL'leri ve kritik kapsam notları.</x:v>
      </x:c>
      <x:c r="C32" s="241" t="str"/>
      <x:c r="D32" s="241" t="str"/>
      <x:c r="E32" s="241" t="str"/>
      <x:c r="F32" s="241" t="str"/>
      <x:c r="G32" s="241" t="str"/>
      <x:c r="H32" s="241" t="str"/>
      <x:c r="I32" s="241" t="str"/>
      <x:c r="J32" s="241" t="str"/>
    </x:row>
  </x:sheetData>
  <x:mergeCells>
    <x:mergeCell ref="A1:J1"/>
    <x:mergeCell ref="A2:J2"/>
    <x:mergeCell ref="D4:J4"/>
    <x:mergeCell ref="A13:J13"/>
    <x:mergeCell ref="A23:J23"/>
    <x:mergeCell ref="D5:E5"/>
    <x:mergeCell ref="F5:J5"/>
    <x:mergeCell ref="D6:E6"/>
    <x:mergeCell ref="F6:J6"/>
    <x:mergeCell ref="D7:E7"/>
    <x:mergeCell ref="F7:J7"/>
    <x:mergeCell ref="D8:E8"/>
    <x:mergeCell ref="F8:J8"/>
    <x:mergeCell ref="D9:E9"/>
    <x:mergeCell ref="F9:J9"/>
    <x:mergeCell ref="B14:J14"/>
    <x:mergeCell ref="B15:J15"/>
    <x:mergeCell ref="B16:J16"/>
    <x:mergeCell ref="B17:J17"/>
    <x:mergeCell ref="B18:J18"/>
    <x:mergeCell ref="B19:J19"/>
    <x:mergeCell ref="B20:J20"/>
    <x:mergeCell ref="B24:J24"/>
    <x:mergeCell ref="B25:J25"/>
    <x:mergeCell ref="B26:J26"/>
    <x:mergeCell ref="B27:J27"/>
    <x:mergeCell ref="B28:J28"/>
    <x:mergeCell ref="B29:J29"/>
    <x:mergeCell ref="B30:J30"/>
    <x:mergeCell ref="B31:J31"/>
    <x:mergeCell ref="B32:J32"/>
  </x:mergeCells>
  <x:pageMargins left="0.7" right="0.7" top="0.75" bottom="0.75" header="0.3" footer="0.3"/>
  <x:drawing xmlns:r="http://schemas.openxmlformats.org/officeDocument/2006/relationships" r:id="R5dcc5b30c23c484a"/>
</x:worksheet>
</file>